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lessio\Dropbox\Tesi Sopranzi\05__Algoritmo di learning\LEARNING\"/>
    </mc:Choice>
  </mc:AlternateContent>
  <xr:revisionPtr revIDLastSave="0" documentId="13_ncr:1_{AFF03FAD-9477-44A2-A551-2E4893A36785}" xr6:coauthVersionLast="45" xr6:coauthVersionMax="45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WOOF_ATTR1" sheetId="2" r:id="rId1"/>
    <sheet name="WOOF_ATTR2" sheetId="3" r:id="rId2"/>
    <sheet name="WOOF_ATTR3" sheetId="1" r:id="rId3"/>
    <sheet name="FEAT_CORR_WOOFER" sheetId="5" r:id="rId4"/>
    <sheet name="FEAT_CORR_TWEETER" sheetId="8" r:id="rId5"/>
    <sheet name="TWEET_ATTR1" sheetId="11" r:id="rId6"/>
    <sheet name="TWEET_ATTR2" sheetId="10" r:id="rId7"/>
    <sheet name="TWEET_ATTR3" sheetId="9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25" i="8" l="1"/>
  <c r="AF25" i="8"/>
  <c r="AE18" i="8"/>
  <c r="AF18" i="8"/>
  <c r="AE5" i="8"/>
  <c r="AF5" i="8"/>
  <c r="K28" i="11" l="1"/>
  <c r="J28" i="11"/>
  <c r="I28" i="11"/>
  <c r="H28" i="11"/>
  <c r="H27" i="11" s="1"/>
  <c r="K25" i="11"/>
  <c r="K27" i="11" s="1"/>
  <c r="J25" i="11"/>
  <c r="J27" i="11" s="1"/>
  <c r="I25" i="11"/>
  <c r="I27" i="11" s="1"/>
  <c r="H25" i="11"/>
  <c r="L19" i="11"/>
  <c r="K19" i="11"/>
  <c r="J19" i="11"/>
  <c r="K24" i="11" s="1"/>
  <c r="I19" i="11"/>
  <c r="H19" i="11"/>
  <c r="G19" i="11"/>
  <c r="J24" i="11" s="1"/>
  <c r="F19" i="11"/>
  <c r="E19" i="11"/>
  <c r="D19" i="11"/>
  <c r="I24" i="11" s="1"/>
  <c r="C19" i="11"/>
  <c r="B19" i="11"/>
  <c r="A19" i="11"/>
  <c r="H24" i="11" s="1"/>
  <c r="L18" i="11"/>
  <c r="K18" i="11"/>
  <c r="J18" i="11"/>
  <c r="K23" i="11" s="1"/>
  <c r="I18" i="11"/>
  <c r="H18" i="11"/>
  <c r="G18" i="11"/>
  <c r="J23" i="11" s="1"/>
  <c r="F18" i="11"/>
  <c r="E18" i="11"/>
  <c r="D18" i="11"/>
  <c r="I23" i="11" s="1"/>
  <c r="C18" i="11"/>
  <c r="B18" i="11"/>
  <c r="A18" i="11"/>
  <c r="H23" i="11" s="1"/>
  <c r="K28" i="10"/>
  <c r="J28" i="10"/>
  <c r="I28" i="10"/>
  <c r="H28" i="10"/>
  <c r="K25" i="10"/>
  <c r="K27" i="10" s="1"/>
  <c r="J25" i="10"/>
  <c r="J27" i="10" s="1"/>
  <c r="I25" i="10"/>
  <c r="I27" i="10" s="1"/>
  <c r="H25" i="10"/>
  <c r="H27" i="10" s="1"/>
  <c r="L19" i="10"/>
  <c r="K19" i="10"/>
  <c r="K24" i="10" s="1"/>
  <c r="J19" i="10"/>
  <c r="I19" i="10"/>
  <c r="H19" i="10"/>
  <c r="G19" i="10"/>
  <c r="J24" i="10" s="1"/>
  <c r="F19" i="10"/>
  <c r="E19" i="10"/>
  <c r="D19" i="10"/>
  <c r="I24" i="10" s="1"/>
  <c r="C19" i="10"/>
  <c r="B19" i="10"/>
  <c r="A19" i="10"/>
  <c r="H24" i="10" s="1"/>
  <c r="L18" i="10"/>
  <c r="K18" i="10"/>
  <c r="K23" i="10" s="1"/>
  <c r="J18" i="10"/>
  <c r="I18" i="10"/>
  <c r="H18" i="10"/>
  <c r="G18" i="10"/>
  <c r="J23" i="10" s="1"/>
  <c r="F18" i="10"/>
  <c r="E18" i="10"/>
  <c r="D18" i="10"/>
  <c r="I23" i="10" s="1"/>
  <c r="C18" i="10"/>
  <c r="B18" i="10"/>
  <c r="A18" i="10"/>
  <c r="H23" i="10" s="1"/>
  <c r="K28" i="9"/>
  <c r="J28" i="9"/>
  <c r="I28" i="9"/>
  <c r="H28" i="9"/>
  <c r="K25" i="9"/>
  <c r="K27" i="9" s="1"/>
  <c r="J25" i="9"/>
  <c r="J27" i="9" s="1"/>
  <c r="I25" i="9"/>
  <c r="I27" i="9" s="1"/>
  <c r="H25" i="9"/>
  <c r="H27" i="9" s="1"/>
  <c r="L19" i="9"/>
  <c r="K19" i="9"/>
  <c r="J19" i="9"/>
  <c r="K24" i="9" s="1"/>
  <c r="I19" i="9"/>
  <c r="H19" i="9"/>
  <c r="G19" i="9"/>
  <c r="J24" i="9" s="1"/>
  <c r="F19" i="9"/>
  <c r="E19" i="9"/>
  <c r="I24" i="9" s="1"/>
  <c r="D19" i="9"/>
  <c r="C19" i="9"/>
  <c r="B19" i="9"/>
  <c r="A19" i="9"/>
  <c r="H24" i="9" s="1"/>
  <c r="L18" i="9"/>
  <c r="K18" i="9"/>
  <c r="J18" i="9"/>
  <c r="K23" i="9" s="1"/>
  <c r="I18" i="9"/>
  <c r="H18" i="9"/>
  <c r="G18" i="9"/>
  <c r="J23" i="9" s="1"/>
  <c r="F18" i="9"/>
  <c r="E18" i="9"/>
  <c r="I23" i="9" s="1"/>
  <c r="D18" i="9"/>
  <c r="C18" i="9"/>
  <c r="B18" i="9"/>
  <c r="A18" i="9"/>
  <c r="H23" i="9" s="1"/>
  <c r="AD25" i="8" l="1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25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18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C5" i="5"/>
  <c r="B5" i="5"/>
  <c r="H23" i="2" l="1"/>
  <c r="D37" i="2" l="1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K28" i="2"/>
  <c r="J28" i="2"/>
  <c r="I28" i="2"/>
  <c r="I27" i="2" s="1"/>
  <c r="H28" i="2"/>
  <c r="D28" i="2"/>
  <c r="C28" i="2"/>
  <c r="B28" i="2"/>
  <c r="A28" i="2"/>
  <c r="D27" i="2"/>
  <c r="C27" i="2"/>
  <c r="B27" i="2"/>
  <c r="A27" i="2"/>
  <c r="D26" i="2"/>
  <c r="C26" i="2"/>
  <c r="B26" i="2"/>
  <c r="A26" i="2"/>
  <c r="K25" i="2"/>
  <c r="K27" i="2" s="1"/>
  <c r="J25" i="2"/>
  <c r="J27" i="2" s="1"/>
  <c r="I25" i="2"/>
  <c r="H25" i="2"/>
  <c r="H27" i="2" s="1"/>
  <c r="D25" i="2"/>
  <c r="C25" i="2"/>
  <c r="B25" i="2"/>
  <c r="A25" i="2"/>
  <c r="D24" i="2"/>
  <c r="C24" i="2"/>
  <c r="B24" i="2"/>
  <c r="A24" i="2"/>
  <c r="D23" i="2"/>
  <c r="D43" i="2" s="1"/>
  <c r="C23" i="2"/>
  <c r="C43" i="2" s="1"/>
  <c r="B23" i="2"/>
  <c r="B42" i="2" s="1"/>
  <c r="A23" i="2"/>
  <c r="A43" i="2" s="1"/>
  <c r="L19" i="2"/>
  <c r="K19" i="2"/>
  <c r="J19" i="2"/>
  <c r="K24" i="2" s="1"/>
  <c r="I19" i="2"/>
  <c r="H19" i="2"/>
  <c r="G19" i="2"/>
  <c r="J24" i="2" s="1"/>
  <c r="F19" i="2"/>
  <c r="I24" i="2" s="1"/>
  <c r="E19" i="2"/>
  <c r="D19" i="2"/>
  <c r="C19" i="2"/>
  <c r="B19" i="2"/>
  <c r="A19" i="2"/>
  <c r="H24" i="2" s="1"/>
  <c r="L18" i="2"/>
  <c r="K18" i="2"/>
  <c r="J18" i="2"/>
  <c r="K23" i="2" s="1"/>
  <c r="I18" i="2"/>
  <c r="H18" i="2"/>
  <c r="G18" i="2"/>
  <c r="J23" i="2" s="1"/>
  <c r="F18" i="2"/>
  <c r="I23" i="2" s="1"/>
  <c r="E18" i="2"/>
  <c r="D18" i="2"/>
  <c r="C18" i="2"/>
  <c r="B18" i="2"/>
  <c r="A18" i="2"/>
  <c r="B41" i="2" l="1"/>
  <c r="B45" i="2" s="1"/>
  <c r="A40" i="2"/>
  <c r="A41" i="2"/>
  <c r="A45" i="2" s="1"/>
  <c r="A42" i="2"/>
  <c r="B40" i="2"/>
  <c r="B43" i="2"/>
  <c r="C40" i="2"/>
  <c r="C41" i="2"/>
  <c r="C45" i="2" s="1"/>
  <c r="C42" i="2"/>
  <c r="D40" i="2"/>
  <c r="D41" i="2"/>
  <c r="D45" i="2" s="1"/>
  <c r="D42" i="2"/>
  <c r="D36" i="3" l="1"/>
  <c r="C36" i="3"/>
  <c r="B36" i="3"/>
  <c r="A36" i="3"/>
  <c r="D35" i="3"/>
  <c r="C35" i="3"/>
  <c r="B35" i="3"/>
  <c r="A35" i="3"/>
  <c r="D34" i="3"/>
  <c r="C34" i="3"/>
  <c r="B34" i="3"/>
  <c r="A34" i="3"/>
  <c r="D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K28" i="3"/>
  <c r="J28" i="3"/>
  <c r="I28" i="3"/>
  <c r="H28" i="3"/>
  <c r="D28" i="3"/>
  <c r="C28" i="3"/>
  <c r="B28" i="3"/>
  <c r="A28" i="3"/>
  <c r="D27" i="3"/>
  <c r="C27" i="3"/>
  <c r="B27" i="3"/>
  <c r="A27" i="3"/>
  <c r="D26" i="3"/>
  <c r="C26" i="3"/>
  <c r="B26" i="3"/>
  <c r="A26" i="3"/>
  <c r="K25" i="3"/>
  <c r="K27" i="3" s="1"/>
  <c r="J25" i="3"/>
  <c r="J27" i="3" s="1"/>
  <c r="I25" i="3"/>
  <c r="I27" i="3" s="1"/>
  <c r="H25" i="3"/>
  <c r="H27" i="3" s="1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D42" i="3" s="1"/>
  <c r="C22" i="3"/>
  <c r="C42" i="3" s="1"/>
  <c r="B22" i="3"/>
  <c r="B42" i="3" s="1"/>
  <c r="A22" i="3"/>
  <c r="A42" i="3" s="1"/>
  <c r="L19" i="3"/>
  <c r="K19" i="3"/>
  <c r="J19" i="3"/>
  <c r="K24" i="3" s="1"/>
  <c r="I19" i="3"/>
  <c r="H19" i="3"/>
  <c r="G19" i="3"/>
  <c r="J24" i="3" s="1"/>
  <c r="F19" i="3"/>
  <c r="E19" i="3"/>
  <c r="I24" i="3" s="1"/>
  <c r="D19" i="3"/>
  <c r="C19" i="3"/>
  <c r="B19" i="3"/>
  <c r="A19" i="3"/>
  <c r="H24" i="3" s="1"/>
  <c r="L18" i="3"/>
  <c r="K18" i="3"/>
  <c r="J18" i="3"/>
  <c r="K23" i="3" s="1"/>
  <c r="I18" i="3"/>
  <c r="H18" i="3"/>
  <c r="G18" i="3"/>
  <c r="J23" i="3" s="1"/>
  <c r="F18" i="3"/>
  <c r="E18" i="3"/>
  <c r="I23" i="3" s="1"/>
  <c r="D18" i="3"/>
  <c r="C18" i="3"/>
  <c r="B18" i="3"/>
  <c r="A18" i="3"/>
  <c r="H23" i="3" s="1"/>
  <c r="A39" i="3" l="1"/>
  <c r="A40" i="3"/>
  <c r="A44" i="3" s="1"/>
  <c r="A41" i="3"/>
  <c r="B39" i="3"/>
  <c r="B40" i="3"/>
  <c r="B44" i="3" s="1"/>
  <c r="B41" i="3"/>
  <c r="C39" i="3"/>
  <c r="C40" i="3"/>
  <c r="C44" i="3" s="1"/>
  <c r="C41" i="3"/>
  <c r="D39" i="3"/>
  <c r="D40" i="3"/>
  <c r="D44" i="3" s="1"/>
  <c r="D41" i="3"/>
  <c r="D43" i="1" l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D36" i="1"/>
  <c r="C36" i="1"/>
  <c r="B36" i="1"/>
  <c r="A36" i="1"/>
  <c r="K35" i="1"/>
  <c r="K34" i="1" s="1"/>
  <c r="J35" i="1"/>
  <c r="I35" i="1"/>
  <c r="H35" i="1"/>
  <c r="D35" i="1"/>
  <c r="C35" i="1"/>
  <c r="B35" i="1"/>
  <c r="A35" i="1"/>
  <c r="D34" i="1"/>
  <c r="C34" i="1"/>
  <c r="B34" i="1"/>
  <c r="A34" i="1"/>
  <c r="D33" i="1"/>
  <c r="C33" i="1"/>
  <c r="B33" i="1"/>
  <c r="A33" i="1"/>
  <c r="K32" i="1"/>
  <c r="J32" i="1"/>
  <c r="J34" i="1" s="1"/>
  <c r="H32" i="1"/>
  <c r="H34" i="1" s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D49" i="1" s="1"/>
  <c r="C29" i="1"/>
  <c r="C49" i="1" s="1"/>
  <c r="B29" i="1"/>
  <c r="B49" i="1" s="1"/>
  <c r="A29" i="1"/>
  <c r="A49" i="1" s="1"/>
  <c r="L22" i="1"/>
  <c r="D25" i="1" s="1"/>
  <c r="K22" i="1"/>
  <c r="J22" i="1"/>
  <c r="I22" i="1"/>
  <c r="H22" i="1"/>
  <c r="G22" i="1"/>
  <c r="C25" i="1" s="1"/>
  <c r="F22" i="1"/>
  <c r="E22" i="1"/>
  <c r="D22" i="1"/>
  <c r="B25" i="1" s="1"/>
  <c r="C22" i="1"/>
  <c r="B22" i="1"/>
  <c r="A22" i="1"/>
  <c r="A25" i="1" s="1"/>
  <c r="L19" i="1"/>
  <c r="K31" i="1" s="1"/>
  <c r="K19" i="1"/>
  <c r="J19" i="1"/>
  <c r="I19" i="1"/>
  <c r="H19" i="1"/>
  <c r="G19" i="1"/>
  <c r="J31" i="1" s="1"/>
  <c r="F19" i="1"/>
  <c r="E19" i="1"/>
  <c r="D19" i="1"/>
  <c r="I31" i="1" s="1"/>
  <c r="C19" i="1"/>
  <c r="B19" i="1"/>
  <c r="A19" i="1"/>
  <c r="H31" i="1" s="1"/>
  <c r="L18" i="1"/>
  <c r="K30" i="1" s="1"/>
  <c r="K18" i="1"/>
  <c r="J18" i="1"/>
  <c r="I18" i="1"/>
  <c r="H18" i="1"/>
  <c r="G18" i="1"/>
  <c r="J30" i="1" s="1"/>
  <c r="F18" i="1"/>
  <c r="E18" i="1"/>
  <c r="D18" i="1"/>
  <c r="I32" i="1" s="1"/>
  <c r="I34" i="1" s="1"/>
  <c r="C18" i="1"/>
  <c r="B18" i="1"/>
  <c r="A18" i="1"/>
  <c r="H30" i="1" s="1"/>
  <c r="A46" i="1" l="1"/>
  <c r="A47" i="1"/>
  <c r="A51" i="1" s="1"/>
  <c r="A48" i="1"/>
  <c r="I30" i="1"/>
  <c r="B46" i="1"/>
  <c r="B47" i="1"/>
  <c r="B51" i="1" s="1"/>
  <c r="B48" i="1"/>
  <c r="C46" i="1"/>
  <c r="C47" i="1"/>
  <c r="C51" i="1" s="1"/>
  <c r="C48" i="1"/>
  <c r="D46" i="1"/>
  <c r="D47" i="1"/>
  <c r="D51" i="1" s="1"/>
  <c r="D48" i="1"/>
</calcChain>
</file>

<file path=xl/sharedStrings.xml><?xml version="1.0" encoding="utf-8"?>
<sst xmlns="http://schemas.openxmlformats.org/spreadsheetml/2006/main" count="440" uniqueCount="180">
  <si>
    <t>SP1_TR1</t>
  </si>
  <si>
    <t>SP1_TR2</t>
  </si>
  <si>
    <t>SP1_TR3</t>
  </si>
  <si>
    <t>SP2_TR1</t>
  </si>
  <si>
    <t>SP2_TR2</t>
  </si>
  <si>
    <t>SP2_TR3</t>
  </si>
  <si>
    <t>SP3_TR1</t>
  </si>
  <si>
    <t>SP3_TR2</t>
  </si>
  <si>
    <t>SP3_TR3</t>
  </si>
  <si>
    <t>SP4_TR1</t>
  </si>
  <si>
    <t>SP4_TR2</t>
  </si>
  <si>
    <t>SP4_TR3</t>
  </si>
  <si>
    <t>WITH OUTLIERS</t>
  </si>
  <si>
    <t>MEDIA MEDIE</t>
  </si>
  <si>
    <t>SP1</t>
  </si>
  <si>
    <t>SP2</t>
  </si>
  <si>
    <t>SP3</t>
  </si>
  <si>
    <t>SP4</t>
  </si>
  <si>
    <t>WITHOUT OUTLIERS 0,0.5,1</t>
  </si>
  <si>
    <t>MEDIA VARIANZE</t>
  </si>
  <si>
    <t>SAMPLE SIZE</t>
  </si>
  <si>
    <t>SIGNIFICANCE LEVEL</t>
  </si>
  <si>
    <t>CONF.INTERVAL</t>
  </si>
  <si>
    <t>DEV.STANDARD COMPLESS.</t>
  </si>
  <si>
    <t>MU</t>
  </si>
  <si>
    <t>SIGMA (ST.DEV)</t>
  </si>
  <si>
    <t>SIGMA^2 (VAR.)</t>
  </si>
  <si>
    <t>CONFIDENCE INTERVAL</t>
  </si>
  <si>
    <t>B014</t>
  </si>
  <si>
    <t>B017</t>
  </si>
  <si>
    <t>B034</t>
  </si>
  <si>
    <t>B035</t>
  </si>
  <si>
    <t>ATTR3</t>
  </si>
  <si>
    <t>ATTR1</t>
  </si>
  <si>
    <t>ATTR2</t>
  </si>
  <si>
    <t>https://corporatefinanceinstitute.com/resources/excel/functions/confidence-interval-excel-function/</t>
  </si>
  <si>
    <t>https://pages.mtu.edu/~fmorriso/cm3215/2015WordFigureErrorBars95CI.pdf</t>
  </si>
  <si>
    <t>V_as</t>
  </si>
  <si>
    <t>X_woofer</t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</si>
  <si>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</si>
  <si>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</si>
  <si>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</si>
  <si>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</si>
  <si>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</si>
  <si>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</si>
  <si>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</si>
  <si>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</si>
  <si>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</si>
  <si>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</si>
  <si>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</si>
  <si>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</si>
  <si>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</si>
  <si>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Feature14</t>
  </si>
  <si>
    <t>Feature15</t>
  </si>
  <si>
    <t>Feature16</t>
  </si>
  <si>
    <t>Feature17</t>
  </si>
  <si>
    <t>Feature18</t>
  </si>
  <si>
    <t>Feature19</t>
  </si>
  <si>
    <t>Feature20</t>
  </si>
  <si>
    <t>Feature21</t>
  </si>
  <si>
    <t>Feature22</t>
  </si>
  <si>
    <t>Feature23</t>
  </si>
  <si>
    <t>Feature24</t>
  </si>
  <si>
    <t>Feature25</t>
  </si>
  <si>
    <t>Feature26</t>
  </si>
  <si>
    <t>Feature27</t>
  </si>
  <si>
    <t>Feature28</t>
  </si>
  <si>
    <t>Feature29</t>
  </si>
  <si>
    <t>Feature30</t>
  </si>
  <si>
    <t>Feature31</t>
  </si>
  <si>
    <t>Feature32</t>
  </si>
  <si>
    <t>Feature33</t>
  </si>
  <si>
    <t>Feature34</t>
  </si>
  <si>
    <t>Feature35</t>
  </si>
  <si>
    <t>Feature36</t>
  </si>
  <si>
    <t>Feature37</t>
  </si>
  <si>
    <t>Feature38</t>
  </si>
  <si>
    <t>Feature39</t>
  </si>
  <si>
    <t>Feature40</t>
  </si>
  <si>
    <t>Feature41</t>
  </si>
  <si>
    <t>Feature42</t>
  </si>
  <si>
    <t>Feature43</t>
  </si>
  <si>
    <t>Feature44</t>
  </si>
  <si>
    <t>Feature45</t>
  </si>
  <si>
    <t>Feature46</t>
  </si>
  <si>
    <t>Feature47</t>
  </si>
  <si>
    <t>Feature48</t>
  </si>
  <si>
    <t>Feature49</t>
  </si>
  <si>
    <t>Feature50</t>
  </si>
  <si>
    <t>Feature51</t>
  </si>
  <si>
    <t>Feature52</t>
  </si>
  <si>
    <t>Feature53</t>
  </si>
  <si>
    <t>Feature54</t>
  </si>
  <si>
    <t>Feature55</t>
  </si>
  <si>
    <t>Feature56</t>
  </si>
  <si>
    <t>Feature57</t>
  </si>
  <si>
    <t>Feature58</t>
  </si>
  <si>
    <t>Feature59</t>
  </si>
  <si>
    <t>Correlazione</t>
  </si>
  <si>
    <t>Re</t>
  </si>
  <si>
    <t>L2</t>
  </si>
  <si>
    <t>R2</t>
  </si>
  <si>
    <t>Bl</t>
  </si>
  <si>
    <t>S_D</t>
  </si>
  <si>
    <t>Q_ms</t>
  </si>
  <si>
    <t>M_ms</t>
  </si>
  <si>
    <t>R_ms</t>
  </si>
  <si>
    <t>C_ms</t>
  </si>
  <si>
    <t>K_ms</t>
  </si>
  <si>
    <t>Q_es</t>
  </si>
  <si>
    <t>f_s</t>
  </si>
  <si>
    <t>Q_ts</t>
  </si>
  <si>
    <t>L_m</t>
  </si>
  <si>
    <t>L_nom</t>
  </si>
  <si>
    <t>L_x0</t>
  </si>
  <si>
    <t>L_x1</t>
  </si>
  <si>
    <t>L_x2</t>
  </si>
  <si>
    <t>L_x3</t>
  </si>
  <si>
    <t>L_x4</t>
  </si>
  <si>
    <t>Bl_0</t>
  </si>
  <si>
    <t>Bl_1</t>
  </si>
  <si>
    <t>Bl_2</t>
  </si>
  <si>
    <t>Bl_3</t>
  </si>
  <si>
    <t>Bl_4</t>
  </si>
  <si>
    <t>Kms_0</t>
  </si>
  <si>
    <t>Kms_1</t>
  </si>
  <si>
    <t>Kms_2</t>
  </si>
  <si>
    <t>Kms_3</t>
  </si>
  <si>
    <t>Kms_4</t>
  </si>
  <si>
    <t>SD_on</t>
  </si>
  <si>
    <t>K_roll_on</t>
  </si>
  <si>
    <t>SC_on</t>
  </si>
  <si>
    <t>SS_on</t>
  </si>
  <si>
    <t>SK_on</t>
  </si>
  <si>
    <t>SEP_on</t>
  </si>
  <si>
    <t>SF_on</t>
  </si>
  <si>
    <t>SCR_on</t>
  </si>
  <si>
    <t>SSL_on</t>
  </si>
  <si>
    <t>SCTR_on1</t>
  </si>
  <si>
    <t>SCTR_on2</t>
  </si>
  <si>
    <t>SCTR_on3</t>
  </si>
  <si>
    <t>SCTR_on4</t>
  </si>
  <si>
    <t>SCTR_on5</t>
  </si>
  <si>
    <t>SCTR_on6</t>
  </si>
  <si>
    <t>AAD_3.5on</t>
  </si>
  <si>
    <t>SE_thd1</t>
  </si>
  <si>
    <t>SE_thd2</t>
  </si>
  <si>
    <t>SE_thd3</t>
  </si>
  <si>
    <t>SE_thd4</t>
  </si>
  <si>
    <t>SE_thd5</t>
  </si>
  <si>
    <t>SE_thd6</t>
  </si>
  <si>
    <t>SE_thd7</t>
  </si>
  <si>
    <t>SE_thd8</t>
  </si>
  <si>
    <t>SE_thd9</t>
  </si>
  <si>
    <t>SE_thd10</t>
  </si>
  <si>
    <t>SF_thd</t>
  </si>
  <si>
    <t>Le</t>
  </si>
  <si>
    <t>Loudness</t>
  </si>
  <si>
    <t>T.Balance</t>
  </si>
  <si>
    <t>Preference</t>
  </si>
  <si>
    <t>1.4k - 2.8k</t>
  </si>
  <si>
    <t>710 - 1.4k</t>
  </si>
  <si>
    <t>355 - 710</t>
  </si>
  <si>
    <t>180 - 355</t>
  </si>
  <si>
    <t>2.8k - 5.6k</t>
  </si>
  <si>
    <t>5.6k - 11k</t>
  </si>
  <si>
    <t>16k - 20k</t>
  </si>
  <si>
    <t>20 - 62.5</t>
  </si>
  <si>
    <t>125 - 250</t>
  </si>
  <si>
    <t>62.5 - 125</t>
  </si>
  <si>
    <t>250 - 500</t>
  </si>
  <si>
    <t>8k - 16k</t>
  </si>
  <si>
    <t>4k - 8k</t>
  </si>
  <si>
    <t>2k - 4k</t>
  </si>
  <si>
    <t>1k - 2k</t>
  </si>
  <si>
    <t>500 - 1k</t>
  </si>
  <si>
    <t>Z_nom</t>
  </si>
  <si>
    <t>f_low</t>
  </si>
  <si>
    <t>f_high</t>
  </si>
  <si>
    <t>Sens_dBSPL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</si>
</sst>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right"/>
    </xf>
    <xf numFmtId="0" fontId="0" fillId="0" borderId="1" xfId="0" applyBorder="1"/>
    <xf numFmtId="0" fontId="0" fillId="3" borderId="0" xfId="0" applyFill="1"/>
    <xf numFmtId="0" fontId="0" fillId="4" borderId="0" xfId="0" applyFill="1"/>
    <xf numFmtId="164" fontId="1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1"/>
    <xf numFmtId="0" fontId="0" fillId="0" borderId="0" xfId="0" applyAlignment="1">
      <alignment horizontal="center"/>
    </xf>
    <xf numFmtId="164" fontId="0" fillId="0" borderId="1" xfId="0" applyNumberFormat="1" applyFill="1" applyBorder="1" applyAlignment="1">
      <alignment horizontal="center"/>
    </xf>
    <xf numFmtId="11" fontId="0" fillId="0" borderId="0" xfId="0" applyNumberFormat="1"/>
    <xf numFmtId="0" fontId="0" fillId="0" borderId="0" xfId="0" applyBorder="1"/>
    <xf numFmtId="0" fontId="0" fillId="0" borderId="0" xfId="0" applyFill="1"/>
    <xf numFmtId="0" fontId="1" fillId="0" borderId="0" xfId="0" applyFont="1"/>
    <xf numFmtId="0" fontId="4" fillId="0" borderId="0" xfId="3"/>
    <xf numFmtId="0" fontId="3" fillId="0" borderId="0" xfId="2"/>
  </cellXfs>
  <cellStyles count="4">
    <cellStyle name="Collegamento ipertestuale" xfId="1" builtinId="8"/>
    <cellStyle name="Normale" xfId="0" builtinId="0"/>
    <cellStyle name="Normale 2" xfId="2" xr:uid="{CCF5964B-53BF-48C3-B929-D2AC983C4703}"/>
    <cellStyle name="Normale 3" xfId="3" xr:uid="{AD574D5B-5A86-4A5F-89FD-4BC627F953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430247066474585E-2"/>
          <c:y val="5.0925902572147762E-2"/>
          <c:w val="0.84859951881014872"/>
          <c:h val="0.832484689413823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[1]WOOF_ATTR1!$H$27:$K$27</c:f>
                <c:numCache>
                  <c:formatCode>General</c:formatCode>
                  <c:ptCount val="4"/>
                  <c:pt idx="0">
                    <c:v>6.3694014473148888E-2</c:v>
                  </c:pt>
                  <c:pt idx="1">
                    <c:v>7.5917493692581703E-2</c:v>
                  </c:pt>
                  <c:pt idx="2">
                    <c:v>6.1041048557745232E-2</c:v>
                  </c:pt>
                  <c:pt idx="3">
                    <c:v>6.1630069199664128E-2</c:v>
                  </c:pt>
                </c:numCache>
              </c:numRef>
            </c:plus>
            <c:minus>
              <c:numRef>
                <c:f>[1]WOOF_ATTR1!$H$27:$K$27</c:f>
                <c:numCache>
                  <c:formatCode>General</c:formatCode>
                  <c:ptCount val="4"/>
                  <c:pt idx="0">
                    <c:v>6.3694014473148888E-2</c:v>
                  </c:pt>
                  <c:pt idx="1">
                    <c:v>7.5917493692581703E-2</c:v>
                  </c:pt>
                  <c:pt idx="2">
                    <c:v>6.1041048557745232E-2</c:v>
                  </c:pt>
                  <c:pt idx="3">
                    <c:v>6.1630069199664128E-2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[1]WOOF_ATTR1!$H$23:$K$23</c:f>
              <c:numCache>
                <c:formatCode>General</c:formatCode>
                <c:ptCount val="4"/>
                <c:pt idx="0">
                  <c:v>0.60635219405594398</c:v>
                </c:pt>
                <c:pt idx="1">
                  <c:v>0.50865419444444449</c:v>
                </c:pt>
                <c:pt idx="2">
                  <c:v>0.47853028554778554</c:v>
                </c:pt>
                <c:pt idx="3">
                  <c:v>0.57015341686091692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8-4505-BCB2-67852CCD8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767120"/>
        <c:axId val="2137163664"/>
      </c:scatterChart>
      <c:valAx>
        <c:axId val="34676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WOOFER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163664"/>
        <c:crosses val="autoZero"/>
        <c:crossBetween val="midCat"/>
        <c:majorUnit val="1"/>
      </c:valAx>
      <c:valAx>
        <c:axId val="2137163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Loudness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767120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330927384076992E-2"/>
          <c:y val="5.0925925925925923E-2"/>
          <c:w val="0.85540529308836399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[1]WOOF_ATTR2!$H$27:$K$27</c:f>
                <c:numCache>
                  <c:formatCode>General</c:formatCode>
                  <c:ptCount val="4"/>
                  <c:pt idx="0">
                    <c:v>6.656936636138161E-2</c:v>
                  </c:pt>
                  <c:pt idx="1">
                    <c:v>5.9791312113242373E-2</c:v>
                  </c:pt>
                  <c:pt idx="2">
                    <c:v>6.5833069482466561E-2</c:v>
                  </c:pt>
                  <c:pt idx="3">
                    <c:v>5.6982240223645043E-2</c:v>
                  </c:pt>
                </c:numCache>
              </c:numRef>
            </c:plus>
            <c:minus>
              <c:numRef>
                <c:f>[1]WOOF_ATTR2!$H$27:$K$27</c:f>
                <c:numCache>
                  <c:formatCode>General</c:formatCode>
                  <c:ptCount val="4"/>
                  <c:pt idx="0">
                    <c:v>6.656936636138161E-2</c:v>
                  </c:pt>
                  <c:pt idx="1">
                    <c:v>5.9791312113242373E-2</c:v>
                  </c:pt>
                  <c:pt idx="2">
                    <c:v>6.5833069482466561E-2</c:v>
                  </c:pt>
                  <c:pt idx="3">
                    <c:v>5.6982240223645043E-2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[1]WOOF_ATTR2!$H$23:$K$23</c:f>
              <c:numCache>
                <c:formatCode>General</c:formatCode>
                <c:ptCount val="4"/>
                <c:pt idx="0">
                  <c:v>0.52120141958041943</c:v>
                </c:pt>
                <c:pt idx="1">
                  <c:v>0.51656761904761905</c:v>
                </c:pt>
                <c:pt idx="2">
                  <c:v>0.5224605303030303</c:v>
                </c:pt>
                <c:pt idx="3">
                  <c:v>0.54379660339660341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1-4A3E-8D9F-64DF59AF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926240"/>
        <c:axId val="344104080"/>
      </c:scatterChart>
      <c:valAx>
        <c:axId val="34292624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Speaker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04080"/>
        <c:crosses val="autoZero"/>
        <c:crossBetween val="midCat"/>
      </c:valAx>
      <c:valAx>
        <c:axId val="344104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Timbral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2624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[1]WOOF_ATTR3!$H$27:$K$27</c:f>
                <c:numCache>
                  <c:formatCode>General</c:formatCode>
                  <c:ptCount val="4"/>
                  <c:pt idx="0">
                    <c:v>5.8159511942034434E-2</c:v>
                  </c:pt>
                  <c:pt idx="1">
                    <c:v>6.106113758655568E-2</c:v>
                  </c:pt>
                  <c:pt idx="2">
                    <c:v>6.3426237710055816E-2</c:v>
                  </c:pt>
                  <c:pt idx="3">
                    <c:v>5.9279309025898244E-2</c:v>
                  </c:pt>
                </c:numCache>
              </c:numRef>
            </c:plus>
            <c:minus>
              <c:numRef>
                <c:f>[1]WOOF_ATTR3!$H$27:$K$27</c:f>
                <c:numCache>
                  <c:formatCode>General</c:formatCode>
                  <c:ptCount val="4"/>
                  <c:pt idx="0">
                    <c:v>5.8159511942034434E-2</c:v>
                  </c:pt>
                  <c:pt idx="1">
                    <c:v>6.106113758655568E-2</c:v>
                  </c:pt>
                  <c:pt idx="2">
                    <c:v>6.3426237710055816E-2</c:v>
                  </c:pt>
                  <c:pt idx="3">
                    <c:v>5.9279309025898244E-2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[1]WOOF_ATTR3!$H$23:$K$23</c:f>
              <c:numCache>
                <c:formatCode>General</c:formatCode>
                <c:ptCount val="4"/>
                <c:pt idx="0">
                  <c:v>0.49465396969696968</c:v>
                </c:pt>
                <c:pt idx="1">
                  <c:v>0.46423103030303037</c:v>
                </c:pt>
                <c:pt idx="2">
                  <c:v>0.47922056798756801</c:v>
                </c:pt>
                <c:pt idx="3">
                  <c:v>0.47435120370370371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C-4A21-B983-B4338CA17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933520"/>
        <c:axId val="246121488"/>
      </c:scatterChart>
      <c:valAx>
        <c:axId val="34793352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SPEAKER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21488"/>
        <c:crosses val="autoZero"/>
        <c:crossBetween val="midCat"/>
        <c:majorUnit val="1"/>
        <c:minorUnit val="0.1"/>
      </c:valAx>
      <c:valAx>
        <c:axId val="246121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PREFERENCE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[1]WOOF_ATTR3!$H$27:$K$27</c:f>
                <c:numCache>
                  <c:formatCode>General</c:formatCode>
                  <c:ptCount val="4"/>
                  <c:pt idx="0">
                    <c:v>5.8159511942034434E-2</c:v>
                  </c:pt>
                  <c:pt idx="1">
                    <c:v>6.106113758655568E-2</c:v>
                  </c:pt>
                  <c:pt idx="2">
                    <c:v>6.3426237710055816E-2</c:v>
                  </c:pt>
                  <c:pt idx="3">
                    <c:v>5.9279309025898244E-2</c:v>
                  </c:pt>
                </c:numCache>
              </c:numRef>
            </c:plus>
            <c:minus>
              <c:numRef>
                <c:f>[1]WOOF_ATTR3!$H$27:$K$27</c:f>
                <c:numCache>
                  <c:formatCode>General</c:formatCode>
                  <c:ptCount val="4"/>
                  <c:pt idx="0">
                    <c:v>5.8159511942034434E-2</c:v>
                  </c:pt>
                  <c:pt idx="1">
                    <c:v>6.106113758655568E-2</c:v>
                  </c:pt>
                  <c:pt idx="2">
                    <c:v>6.3426237710055816E-2</c:v>
                  </c:pt>
                  <c:pt idx="3">
                    <c:v>5.9279309025898244E-2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[1]WOOF_ATTR3!$H$23:$K$23</c:f>
              <c:numCache>
                <c:formatCode>General</c:formatCode>
                <c:ptCount val="4"/>
                <c:pt idx="0">
                  <c:v>0.49465396969696968</c:v>
                </c:pt>
                <c:pt idx="1">
                  <c:v>0.46423103030303037</c:v>
                </c:pt>
                <c:pt idx="2">
                  <c:v>0.47922056798756801</c:v>
                </c:pt>
                <c:pt idx="3">
                  <c:v>0.47435120370370371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0-4D0A-A526-F771D2619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933520"/>
        <c:axId val="246121488"/>
      </c:scatterChart>
      <c:valAx>
        <c:axId val="34793352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SPEAKER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21488"/>
        <c:crosses val="autoZero"/>
        <c:crossBetween val="midCat"/>
        <c:majorUnit val="1"/>
        <c:minorUnit val="0.1"/>
      </c:valAx>
      <c:valAx>
        <c:axId val="246121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PREFERENCE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9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[2]TWEET_ATTR1!$H$27:$K$27</c:f>
                <c:numCache>
                  <c:formatCode>General</c:formatCode>
                  <c:ptCount val="4"/>
                  <c:pt idx="0">
                    <c:v>5.4532985735066056E-2</c:v>
                  </c:pt>
                  <c:pt idx="1">
                    <c:v>6.0307255304417391E-2</c:v>
                  </c:pt>
                  <c:pt idx="2">
                    <c:v>5.2563052420248745E-2</c:v>
                  </c:pt>
                  <c:pt idx="3">
                    <c:v>5.0133606200662983E-2</c:v>
                  </c:pt>
                </c:numCache>
              </c:numRef>
            </c:plus>
            <c:minus>
              <c:numRef>
                <c:f>[2]TWEET_ATTR1!$H$27:$K$27</c:f>
                <c:numCache>
                  <c:formatCode>General</c:formatCode>
                  <c:ptCount val="4"/>
                  <c:pt idx="0">
                    <c:v>5.4532985735066056E-2</c:v>
                  </c:pt>
                  <c:pt idx="1">
                    <c:v>6.0307255304417391E-2</c:v>
                  </c:pt>
                  <c:pt idx="2">
                    <c:v>5.2563052420248745E-2</c:v>
                  </c:pt>
                  <c:pt idx="3">
                    <c:v>5.0133606200662983E-2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[2]TWEET_ATTR1!$H$23:$K$23</c:f>
              <c:numCache>
                <c:formatCode>General</c:formatCode>
                <c:ptCount val="4"/>
                <c:pt idx="0">
                  <c:v>0.53989136363636359</c:v>
                </c:pt>
                <c:pt idx="1">
                  <c:v>0.53715657828282837</c:v>
                </c:pt>
                <c:pt idx="2">
                  <c:v>0.58901793447293438</c:v>
                </c:pt>
                <c:pt idx="3">
                  <c:v>0.54585540404040411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B-4FA2-B27A-EA74DEBDF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317680"/>
        <c:axId val="1833839328"/>
      </c:scatterChart>
      <c:valAx>
        <c:axId val="196431768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SPEAKER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39328"/>
        <c:crosses val="autoZero"/>
        <c:crossBetween val="midCat"/>
      </c:valAx>
      <c:valAx>
        <c:axId val="1833839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LOUDNESS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1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[2]TWEET_ATTR2!$H$27:$K$27</c:f>
                <c:numCache>
                  <c:formatCode>General</c:formatCode>
                  <c:ptCount val="4"/>
                  <c:pt idx="0">
                    <c:v>5.1083005935641093E-2</c:v>
                  </c:pt>
                  <c:pt idx="1">
                    <c:v>6.318818298777254E-2</c:v>
                  </c:pt>
                  <c:pt idx="2">
                    <c:v>7.3547621160246893E-2</c:v>
                  </c:pt>
                  <c:pt idx="3">
                    <c:v>6.3820497321782452E-2</c:v>
                  </c:pt>
                </c:numCache>
              </c:numRef>
            </c:plus>
            <c:minus>
              <c:numRef>
                <c:f>[2]TWEET_ATTR2!$H$27:$K$27</c:f>
                <c:numCache>
                  <c:formatCode>General</c:formatCode>
                  <c:ptCount val="4"/>
                  <c:pt idx="0">
                    <c:v>5.1083005935641093E-2</c:v>
                  </c:pt>
                  <c:pt idx="1">
                    <c:v>6.318818298777254E-2</c:v>
                  </c:pt>
                  <c:pt idx="2">
                    <c:v>7.3547621160246893E-2</c:v>
                  </c:pt>
                  <c:pt idx="3">
                    <c:v>6.3820497321782452E-2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[2]TWEET_ATTR2!$H$23:$K$23</c:f>
              <c:numCache>
                <c:formatCode>General</c:formatCode>
                <c:ptCount val="4"/>
                <c:pt idx="0">
                  <c:v>0.59700886816886811</c:v>
                </c:pt>
                <c:pt idx="1">
                  <c:v>0.63326022222222222</c:v>
                </c:pt>
                <c:pt idx="2">
                  <c:v>0.54789931818181825</c:v>
                </c:pt>
                <c:pt idx="3">
                  <c:v>0.56646396270396271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F-44D2-8ECD-429CB297E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618128"/>
        <c:axId val="2052072384"/>
      </c:scatterChart>
      <c:valAx>
        <c:axId val="1838618128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SPEAKER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72384"/>
        <c:crosses val="autoZero"/>
        <c:crossBetween val="midCat"/>
      </c:valAx>
      <c:valAx>
        <c:axId val="2052072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TIMBRAL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812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[2]TWEET_ATTR3!$H$27:$K$27</c:f>
                <c:numCache>
                  <c:formatCode>General</c:formatCode>
                  <c:ptCount val="4"/>
                  <c:pt idx="0">
                    <c:v>6.0297272262184079E-2</c:v>
                  </c:pt>
                  <c:pt idx="1">
                    <c:v>6.263866302184104E-2</c:v>
                  </c:pt>
                  <c:pt idx="2">
                    <c:v>6.4226218511163377E-2</c:v>
                  </c:pt>
                  <c:pt idx="3">
                    <c:v>5.2907354656396094E-2</c:v>
                  </c:pt>
                </c:numCache>
              </c:numRef>
            </c:plus>
            <c:minus>
              <c:numRef>
                <c:f>[2]TWEET_ATTR3!$H$27:$K$27</c:f>
                <c:numCache>
                  <c:formatCode>General</c:formatCode>
                  <c:ptCount val="4"/>
                  <c:pt idx="0">
                    <c:v>6.0297272262184079E-2</c:v>
                  </c:pt>
                  <c:pt idx="1">
                    <c:v>6.263866302184104E-2</c:v>
                  </c:pt>
                  <c:pt idx="2">
                    <c:v>6.4226218511163377E-2</c:v>
                  </c:pt>
                  <c:pt idx="3">
                    <c:v>5.2907354656396094E-2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[2]TWEET_ATTR3!$H$23:$K$23</c:f>
              <c:numCache>
                <c:formatCode>General</c:formatCode>
                <c:ptCount val="4"/>
                <c:pt idx="0">
                  <c:v>0.59378977156177148</c:v>
                </c:pt>
                <c:pt idx="1">
                  <c:v>0.60898133333333326</c:v>
                </c:pt>
                <c:pt idx="2">
                  <c:v>0.5355892255892255</c:v>
                </c:pt>
                <c:pt idx="3">
                  <c:v>0.62420660256410254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7D-42F5-9159-2BEE80704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572448"/>
        <c:axId val="2052094432"/>
      </c:scatterChart>
      <c:valAx>
        <c:axId val="1972572448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SPEAKER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94432"/>
        <c:crosses val="autoZero"/>
        <c:crossBetween val="midCat"/>
      </c:valAx>
      <c:valAx>
        <c:axId val="2052094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PREFERENCE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7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1571625</xdr:colOff>
      <xdr:row>32</xdr:row>
      <xdr:rowOff>0</xdr:rowOff>
    </xdr:from>
    <xdr:to>
      <xdr:col>14</xdr:col>
      <xdr:colOff>47623</xdr:colOff>
      <xdr:row>47</xdr:row>
      <xdr:rowOff>151208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EFB5AEF-8D02-4A80-A71C-36951E6EC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20</xdr:row>
      <xdr:rowOff>79375</xdr:rowOff>
    </xdr:from>
    <xdr:to>
      <xdr:col>21</xdr:col>
      <xdr:colOff>134937</xdr:colOff>
      <xdr:row>40</xdr:row>
      <xdr:rowOff>188912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CCD467D-A71F-41CD-85D2-8298525B2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88445</xdr:colOff>
      <xdr:row>9</xdr:row>
      <xdr:rowOff>81643</xdr:rowOff>
    </xdr:from>
    <xdr:to>
      <xdr:col>22</xdr:col>
      <xdr:colOff>81642</xdr:colOff>
      <xdr:row>35</xdr:row>
      <xdr:rowOff>160564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D0DD9B9-33CC-4E18-990B-52B4B98C3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88445</xdr:colOff>
      <xdr:row>9</xdr:row>
      <xdr:rowOff>81643</xdr:rowOff>
    </xdr:from>
    <xdr:to>
      <xdr:col>22</xdr:col>
      <xdr:colOff>81642</xdr:colOff>
      <xdr:row>35</xdr:row>
      <xdr:rowOff>160564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BA8763D-786D-4D61-BF41-81C436335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446484</xdr:colOff>
      <xdr:row>8</xdr:row>
      <xdr:rowOff>134540</xdr:rowOff>
    </xdr:from>
    <xdr:to>
      <xdr:col>21</xdr:col>
      <xdr:colOff>160734</xdr:colOff>
      <xdr:row>23</xdr:row>
      <xdr:rowOff>20240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2FD342F-88D1-4D58-A749-6EAAD38E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470296</xdr:colOff>
      <xdr:row>11</xdr:row>
      <xdr:rowOff>75009</xdr:rowOff>
    </xdr:from>
    <xdr:to>
      <xdr:col>19</xdr:col>
      <xdr:colOff>184546</xdr:colOff>
      <xdr:row>25</xdr:row>
      <xdr:rowOff>151209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92CF443-D68B-4552-B1F4-19C36C2D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125015</xdr:colOff>
      <xdr:row>12</xdr:row>
      <xdr:rowOff>158352</xdr:rowOff>
    </xdr:from>
    <xdr:to>
      <xdr:col>20</xdr:col>
      <xdr:colOff>446484</xdr:colOff>
      <xdr:row>27</xdr:row>
      <xdr:rowOff>44052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1CA74DD-50D4-41D6-9BF4-0A6A402D4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ssio/Dropbox/Tesi%20Sopranzi/REVERSE%20ENGINEERING/RISULTATI%20LISTENING%20TEST/main_WOOF_rever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ssio/Dropbox/Tesi%20Sopranzi/REVERSE%20ENGINEERING/RISULTATI%20LISTENING%20TEST/main_TWEET_rever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F_ATTR1"/>
      <sheetName val="WOOF_ATTR2"/>
      <sheetName val="WOOF_ATTR3"/>
    </sheetNames>
    <sheetDataSet>
      <sheetData sheetId="0">
        <row r="23">
          <cell r="H23">
            <v>0.60635219405594398</v>
          </cell>
          <cell r="I23">
            <v>0.50865419444444449</v>
          </cell>
          <cell r="J23">
            <v>0.47853028554778554</v>
          </cell>
          <cell r="K23">
            <v>0.57015341686091692</v>
          </cell>
        </row>
        <row r="27">
          <cell r="H27">
            <v>6.3694014473148888E-2</v>
          </cell>
          <cell r="I27">
            <v>7.5917493692581703E-2</v>
          </cell>
          <cell r="J27">
            <v>6.1041048557745232E-2</v>
          </cell>
          <cell r="K27">
            <v>6.1630069199664128E-2</v>
          </cell>
        </row>
      </sheetData>
      <sheetData sheetId="1">
        <row r="23">
          <cell r="H23">
            <v>0.52120141958041943</v>
          </cell>
          <cell r="I23">
            <v>0.51656761904761905</v>
          </cell>
          <cell r="J23">
            <v>0.5224605303030303</v>
          </cell>
          <cell r="K23">
            <v>0.54379660339660341</v>
          </cell>
        </row>
        <row r="27">
          <cell r="H27">
            <v>6.656936636138161E-2</v>
          </cell>
          <cell r="I27">
            <v>5.9791312113242373E-2</v>
          </cell>
          <cell r="J27">
            <v>6.5833069482466561E-2</v>
          </cell>
          <cell r="K27">
            <v>5.6982240223645043E-2</v>
          </cell>
        </row>
      </sheetData>
      <sheetData sheetId="2">
        <row r="23">
          <cell r="H23">
            <v>0.49465396969696968</v>
          </cell>
          <cell r="I23">
            <v>0.46423103030303037</v>
          </cell>
          <cell r="J23">
            <v>0.47922056798756801</v>
          </cell>
          <cell r="K23">
            <v>0.47435120370370371</v>
          </cell>
        </row>
        <row r="27">
          <cell r="H27">
            <v>5.8159511942034434E-2</v>
          </cell>
          <cell r="I27">
            <v>6.106113758655568E-2</v>
          </cell>
          <cell r="J27">
            <v>6.3426237710055816E-2</v>
          </cell>
          <cell r="K27">
            <v>5.9279309025898244E-2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EET_ATTR1"/>
      <sheetName val="TWEET_ATTR2"/>
      <sheetName val="TWEET_ATTR2_WITHOUTL"/>
      <sheetName val="TWEET_ATTR3"/>
    </sheetNames>
    <sheetDataSet>
      <sheetData sheetId="0">
        <row r="23">
          <cell r="H23">
            <v>0.53989136363636359</v>
          </cell>
          <cell r="I23">
            <v>0.53715657828282837</v>
          </cell>
          <cell r="J23">
            <v>0.58901793447293438</v>
          </cell>
          <cell r="K23">
            <v>0.54585540404040411</v>
          </cell>
        </row>
        <row r="27">
          <cell r="H27">
            <v>5.4532985735066056E-2</v>
          </cell>
          <cell r="I27">
            <v>6.0307255304417391E-2</v>
          </cell>
          <cell r="J27">
            <v>5.2563052420248745E-2</v>
          </cell>
          <cell r="K27">
            <v>5.0133606200662983E-2</v>
          </cell>
        </row>
      </sheetData>
      <sheetData sheetId="1">
        <row r="23">
          <cell r="H23">
            <v>0.59700886816886811</v>
          </cell>
          <cell r="I23">
            <v>0.63326022222222222</v>
          </cell>
          <cell r="J23">
            <v>0.54789931818181825</v>
          </cell>
          <cell r="K23">
            <v>0.56646396270396271</v>
          </cell>
        </row>
        <row r="27">
          <cell r="H27">
            <v>5.1083005935641093E-2</v>
          </cell>
          <cell r="I27">
            <v>6.318818298777254E-2</v>
          </cell>
          <cell r="J27">
            <v>7.3547621160246893E-2</v>
          </cell>
          <cell r="K27">
            <v>6.3820497321782452E-2</v>
          </cell>
        </row>
      </sheetData>
      <sheetData sheetId="2" refreshError="1"/>
      <sheetData sheetId="3">
        <row r="23">
          <cell r="H23">
            <v>0.59378977156177148</v>
          </cell>
          <cell r="I23">
            <v>0.60898133333333326</v>
          </cell>
          <cell r="J23">
            <v>0.5355892255892255</v>
          </cell>
          <cell r="K23">
            <v>0.62420660256410254</v>
          </cell>
        </row>
        <row r="27">
          <cell r="H27">
            <v>6.0297272262184079E-2</v>
          </cell>
          <cell r="I27">
            <v>6.263866302184104E-2</v>
          </cell>
          <cell r="J27">
            <v>6.4226218511163377E-2</v>
          </cell>
          <cell r="K27">
            <v>5.2907354656396094E-2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ages.mtu.edu/~fmorriso/cm3215/2015WordFigureErrorBars95CI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0BB5-9A90-4D58-A383-F7AA6D5130FB}">
  <dimension ref="A1:L56"/>
  <sheetViews>
    <sheetView topLeftCell="A33" zoomScale="80" zoomScaleNormal="80" workbookViewId="0">
      <selection activeCell="J50" sqref="J50"/>
    </sheetView>
  </sheetViews>
  <sheetFormatPr defaultRowHeight="15" x14ac:dyDescent="0.25"/>
  <cols>
    <col min="1" max="1" width="18.7109375" customWidth="1"/>
    <col min="6" max="6" width="23.140625" customWidth="1"/>
    <col min="7" max="7" width="28.42578125" customWidth="1"/>
  </cols>
  <sheetData>
    <row r="1" spans="1:12" x14ac:dyDescent="0.25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0.40418999999999999</v>
      </c>
      <c r="B2">
        <v>0.41546</v>
      </c>
      <c r="C2">
        <v>0.48309000000000002</v>
      </c>
      <c r="D2">
        <v>0.54374999999999996</v>
      </c>
      <c r="E2">
        <v>0.55125999999999997</v>
      </c>
      <c r="F2">
        <v>0.58347000000000004</v>
      </c>
      <c r="G2">
        <v>0.40311000000000002</v>
      </c>
      <c r="H2">
        <v>0.41814000000000001</v>
      </c>
      <c r="I2">
        <v>0.48631000000000002</v>
      </c>
      <c r="J2">
        <v>0.46538000000000002</v>
      </c>
      <c r="K2">
        <v>0.46161999999999997</v>
      </c>
      <c r="L2">
        <v>0.45302999999999999</v>
      </c>
    </row>
    <row r="3" spans="1:12" x14ac:dyDescent="0.25">
      <c r="A3">
        <v>0.76704000000000006</v>
      </c>
      <c r="B3">
        <v>0.89908999999999994</v>
      </c>
      <c r="C3">
        <v>0.11916</v>
      </c>
      <c r="D3">
        <v>0.63124000000000002</v>
      </c>
      <c r="E3">
        <v>0.76973000000000003</v>
      </c>
      <c r="F3">
        <v>0.5</v>
      </c>
      <c r="G3">
        <v>0.77241000000000004</v>
      </c>
      <c r="H3">
        <v>0.63553000000000004</v>
      </c>
      <c r="I3">
        <v>0.24207999999999999</v>
      </c>
      <c r="J3">
        <v>0.65056000000000003</v>
      </c>
      <c r="K3">
        <v>0.65432000000000001</v>
      </c>
      <c r="L3">
        <v>0.5</v>
      </c>
    </row>
    <row r="4" spans="1:12" x14ac:dyDescent="0.25">
      <c r="A4">
        <v>0.5</v>
      </c>
      <c r="B4">
        <v>0.77241000000000004</v>
      </c>
      <c r="C4">
        <v>0.77186999999999995</v>
      </c>
      <c r="D4">
        <v>0.77186999999999995</v>
      </c>
      <c r="E4">
        <v>0.89371999999999996</v>
      </c>
      <c r="F4">
        <v>0.76543000000000005</v>
      </c>
      <c r="G4">
        <v>0.63714000000000004</v>
      </c>
      <c r="H4">
        <v>0.88943000000000005</v>
      </c>
      <c r="I4">
        <v>0.76543000000000005</v>
      </c>
      <c r="J4">
        <v>0.82125999999999999</v>
      </c>
      <c r="K4">
        <v>0.86151</v>
      </c>
      <c r="L4">
        <v>0.76812000000000002</v>
      </c>
    </row>
    <row r="5" spans="1:12" x14ac:dyDescent="0.25">
      <c r="A5">
        <v>0.5</v>
      </c>
      <c r="B5">
        <v>0.52334999999999998</v>
      </c>
      <c r="C5">
        <v>0.5</v>
      </c>
      <c r="D5">
        <v>0.5</v>
      </c>
      <c r="E5">
        <v>0.58453999999999995</v>
      </c>
      <c r="F5">
        <v>0.5</v>
      </c>
      <c r="G5">
        <v>0.5</v>
      </c>
      <c r="H5">
        <v>0.56843999999999995</v>
      </c>
      <c r="I5">
        <v>0.5</v>
      </c>
      <c r="J5">
        <v>0.53193999999999997</v>
      </c>
      <c r="K5">
        <v>0.51100000000000001</v>
      </c>
      <c r="L5">
        <v>0.37574000000000002</v>
      </c>
    </row>
    <row r="6" spans="1:12" x14ac:dyDescent="0.25">
      <c r="A6">
        <v>0.5</v>
      </c>
      <c r="B6">
        <v>0.63983000000000001</v>
      </c>
      <c r="C6">
        <v>0.5</v>
      </c>
      <c r="D6">
        <v>0.63392000000000004</v>
      </c>
      <c r="E6">
        <v>0.5</v>
      </c>
      <c r="F6">
        <v>0.63714000000000004</v>
      </c>
      <c r="G6">
        <v>0.74665000000000004</v>
      </c>
      <c r="H6">
        <v>0.36286000000000002</v>
      </c>
      <c r="I6">
        <v>0.65003</v>
      </c>
      <c r="J6">
        <v>0.5</v>
      </c>
      <c r="K6">
        <v>0.76114000000000004</v>
      </c>
      <c r="L6">
        <v>0.75899000000000005</v>
      </c>
    </row>
    <row r="7" spans="1:12" x14ac:dyDescent="0.25">
      <c r="A7">
        <v>0.89156999999999997</v>
      </c>
      <c r="B7">
        <v>0.5</v>
      </c>
      <c r="C7">
        <v>0.77080000000000004</v>
      </c>
      <c r="D7">
        <v>0.37252000000000002</v>
      </c>
      <c r="E7">
        <v>0.37413000000000002</v>
      </c>
      <c r="F7">
        <v>0.5</v>
      </c>
      <c r="G7">
        <v>0.30326999999999998</v>
      </c>
      <c r="H7">
        <v>0.37680999999999998</v>
      </c>
      <c r="I7">
        <v>0.77456000000000003</v>
      </c>
      <c r="J7">
        <v>0.63929000000000002</v>
      </c>
      <c r="K7">
        <v>0.23296</v>
      </c>
      <c r="L7">
        <v>0.76758000000000004</v>
      </c>
    </row>
    <row r="8" spans="1:12" x14ac:dyDescent="0.25">
      <c r="A8">
        <v>0.5</v>
      </c>
      <c r="B8">
        <v>0.56145999999999996</v>
      </c>
      <c r="C8">
        <v>0.5</v>
      </c>
      <c r="D8">
        <v>0.5</v>
      </c>
      <c r="E8">
        <v>0.5</v>
      </c>
      <c r="F8">
        <v>0.44497999999999999</v>
      </c>
      <c r="G8">
        <v>0.5</v>
      </c>
      <c r="H8">
        <v>0.57594999999999996</v>
      </c>
      <c r="I8">
        <v>0.37143999999999999</v>
      </c>
      <c r="J8">
        <v>0.50885999999999998</v>
      </c>
      <c r="K8">
        <v>0.5</v>
      </c>
      <c r="L8">
        <v>0.43961</v>
      </c>
    </row>
    <row r="9" spans="1:12" x14ac:dyDescent="0.25">
      <c r="A9">
        <v>0.56413999999999997</v>
      </c>
      <c r="B9">
        <v>0.66237000000000001</v>
      </c>
      <c r="C9">
        <v>0.54696999999999996</v>
      </c>
      <c r="D9">
        <v>0.5</v>
      </c>
      <c r="E9">
        <v>0.67042000000000002</v>
      </c>
      <c r="F9">
        <v>0.61675000000000002</v>
      </c>
      <c r="G9">
        <v>0.58077999999999996</v>
      </c>
      <c r="H9">
        <v>0.30326999999999998</v>
      </c>
      <c r="I9">
        <v>0.30542000000000002</v>
      </c>
      <c r="J9">
        <v>0.34728999999999999</v>
      </c>
      <c r="K9">
        <v>0.47343000000000002</v>
      </c>
      <c r="L9">
        <v>0.24368999999999999</v>
      </c>
    </row>
    <row r="10" spans="1:12" x14ac:dyDescent="0.25">
      <c r="A10">
        <v>0.89748000000000006</v>
      </c>
      <c r="B10">
        <v>0.76382000000000005</v>
      </c>
      <c r="C10">
        <v>0.65056000000000003</v>
      </c>
      <c r="D10">
        <v>0.37519999999999998</v>
      </c>
      <c r="E10">
        <v>0.88727999999999996</v>
      </c>
      <c r="F10">
        <v>0.74987000000000004</v>
      </c>
      <c r="G10">
        <v>0.37519999999999998</v>
      </c>
      <c r="H10">
        <v>0.5</v>
      </c>
      <c r="I10">
        <v>0.6452</v>
      </c>
      <c r="J10">
        <v>0.76382000000000005</v>
      </c>
      <c r="K10">
        <v>0.65110000000000001</v>
      </c>
      <c r="L10">
        <v>0.89639999999999997</v>
      </c>
    </row>
    <row r="11" spans="1:12" x14ac:dyDescent="0.25">
      <c r="A11">
        <v>0.63392000000000004</v>
      </c>
      <c r="B11">
        <v>0.53515999999999997</v>
      </c>
      <c r="C11">
        <v>0.73053999999999997</v>
      </c>
      <c r="D11">
        <v>0.69189000000000001</v>
      </c>
      <c r="E11">
        <v>0.67954999999999999</v>
      </c>
      <c r="F11">
        <v>8.2661999999999999E-2</v>
      </c>
      <c r="G11">
        <v>0.5</v>
      </c>
      <c r="H11">
        <v>0.64198</v>
      </c>
      <c r="I11">
        <v>0.5</v>
      </c>
      <c r="J11">
        <v>0.68545</v>
      </c>
      <c r="K11">
        <v>0.5</v>
      </c>
      <c r="L11">
        <v>0.64895000000000003</v>
      </c>
    </row>
    <row r="12" spans="1:12" x14ac:dyDescent="0.25">
      <c r="A12">
        <v>0.37197999999999998</v>
      </c>
      <c r="B12">
        <v>0.38862000000000002</v>
      </c>
      <c r="C12">
        <v>0.64895000000000003</v>
      </c>
      <c r="D12">
        <v>0.37413000000000002</v>
      </c>
      <c r="E12">
        <v>0.23027</v>
      </c>
      <c r="F12">
        <v>0.23457</v>
      </c>
      <c r="G12">
        <v>0.24207999999999999</v>
      </c>
      <c r="H12">
        <v>0.36930000000000002</v>
      </c>
      <c r="I12">
        <v>0.37036999999999998</v>
      </c>
      <c r="J12">
        <v>0.37465999999999999</v>
      </c>
      <c r="K12">
        <v>0.37789</v>
      </c>
      <c r="L12">
        <v>0.63929000000000002</v>
      </c>
    </row>
    <row r="13" spans="1:12" x14ac:dyDescent="0.25">
      <c r="A13">
        <v>0.5</v>
      </c>
      <c r="B13">
        <v>0.54159999999999997</v>
      </c>
      <c r="C13">
        <v>0.57648999999999995</v>
      </c>
      <c r="D13">
        <v>0.30596000000000001</v>
      </c>
      <c r="E13">
        <v>0</v>
      </c>
      <c r="F13">
        <v>9.8228999999999997E-2</v>
      </c>
      <c r="G13">
        <v>0.30059000000000002</v>
      </c>
      <c r="H13">
        <v>0.37252000000000002</v>
      </c>
      <c r="I13">
        <v>0.57381000000000004</v>
      </c>
      <c r="J13">
        <v>0.5</v>
      </c>
      <c r="K13">
        <v>0.46429999999999999</v>
      </c>
      <c r="L13">
        <v>0.44444</v>
      </c>
    </row>
    <row r="14" spans="1:12" x14ac:dyDescent="0.25">
      <c r="A14">
        <v>0.5</v>
      </c>
      <c r="B14">
        <v>0.5</v>
      </c>
      <c r="C14">
        <v>0.64036000000000004</v>
      </c>
      <c r="D14">
        <v>0.65486</v>
      </c>
      <c r="E14">
        <v>0.5</v>
      </c>
      <c r="F14">
        <v>0.56200000000000006</v>
      </c>
      <c r="G14">
        <v>0.5</v>
      </c>
      <c r="H14">
        <v>0.5</v>
      </c>
      <c r="I14">
        <v>0.5</v>
      </c>
      <c r="J14">
        <v>0.58614999999999995</v>
      </c>
      <c r="K14">
        <v>0.5</v>
      </c>
      <c r="L14">
        <v>0.61084000000000005</v>
      </c>
    </row>
    <row r="15" spans="1:12" x14ac:dyDescent="0.25">
      <c r="A15">
        <v>0.5</v>
      </c>
      <c r="B15">
        <v>0.62050000000000005</v>
      </c>
      <c r="C15">
        <v>0.28502</v>
      </c>
      <c r="D15">
        <v>0.22491</v>
      </c>
      <c r="E15">
        <v>0.25979999999999998</v>
      </c>
      <c r="F15">
        <v>0.37304999999999999</v>
      </c>
      <c r="G15">
        <v>0.39290999999999998</v>
      </c>
      <c r="H15">
        <v>0.6452</v>
      </c>
      <c r="I15">
        <v>0.39989000000000002</v>
      </c>
      <c r="J15">
        <v>0.5</v>
      </c>
      <c r="K15">
        <v>0.75361999999999996</v>
      </c>
      <c r="L15">
        <v>0.5</v>
      </c>
    </row>
    <row r="16" spans="1:12" x14ac:dyDescent="0.25">
      <c r="A16">
        <v>0.76039000000000001</v>
      </c>
      <c r="B16">
        <v>0.37125000000000002</v>
      </c>
      <c r="C16">
        <v>0</v>
      </c>
      <c r="D16">
        <v>0.37529000000000001</v>
      </c>
      <c r="E16">
        <v>0.5</v>
      </c>
      <c r="F16">
        <v>0.12701999999999999</v>
      </c>
      <c r="G16">
        <v>0.37991000000000003</v>
      </c>
      <c r="H16">
        <v>0.25635000000000002</v>
      </c>
      <c r="I16">
        <v>0.11951000000000001</v>
      </c>
      <c r="J16">
        <v>0.5</v>
      </c>
      <c r="K16">
        <v>0.75404000000000004</v>
      </c>
      <c r="L16">
        <v>0.11894</v>
      </c>
    </row>
    <row r="18" spans="1:12" x14ac:dyDescent="0.25">
      <c r="A18">
        <f>AVERAGE(A2:A3,A7,A9:A12,A16)</f>
        <v>0.66133874999999998</v>
      </c>
      <c r="B18">
        <f>AVERAGE(B2:B6,B8:B13,B15:B16)</f>
        <v>0.59191692307692301</v>
      </c>
      <c r="C18">
        <f>AVERAGE(C2:C4,C7,C9:C15)</f>
        <v>0.56580090909090908</v>
      </c>
      <c r="D18">
        <f>AVERAGE(D2:D4,D6:D7,D10:D16)</f>
        <v>0.49629499999999999</v>
      </c>
      <c r="E18">
        <f>AVERAGE(E2:E5,E7,E9:E12,E15)</f>
        <v>0.59007000000000009</v>
      </c>
      <c r="F18">
        <f>AVERAGE(F2,F4,F6,F8:F16)</f>
        <v>0.43959758333333337</v>
      </c>
      <c r="G18">
        <f>AVERAGE(G2:G4,G6:G7,G9:G10,G12:G13,G15:G16)</f>
        <v>0.46673181818181803</v>
      </c>
      <c r="H18">
        <f>AVERAGE(H2:H9,H11:H13,H15:H16)</f>
        <v>0.49352153846153851</v>
      </c>
      <c r="I18">
        <f>AVERAGE(I2:I4,I6:I10,I12:I13,I15:I16)</f>
        <v>0.47533750000000002</v>
      </c>
      <c r="J18">
        <f>AVERAGE(J2:J5,J7:J12,J14)</f>
        <v>0.5795145454545455</v>
      </c>
      <c r="K18">
        <f>AVERAGE(K2:K7,K9:K10,K12:K13,K15:K16)</f>
        <v>0.57974416666666662</v>
      </c>
      <c r="L18">
        <f>AVERAGE(L2,L4:L14,L16)</f>
        <v>0.55120153846153852</v>
      </c>
    </row>
    <row r="19" spans="1:12" x14ac:dyDescent="0.25">
      <c r="A19">
        <f>VAR(A2:A3,A7,A9:A12,A16)</f>
        <v>4.1400910498214358E-2</v>
      </c>
      <c r="B19">
        <f>VAR(B2:B6,B8:B13,B15:B16)</f>
        <v>2.4758564406410333E-2</v>
      </c>
      <c r="C19">
        <f>VAR(C2:C4,C7,C9:C15)</f>
        <v>4.1692097329090939E-2</v>
      </c>
      <c r="D19">
        <f>VAR(D2:D4,D6:D7,D10:D16)</f>
        <v>3.165205380909087E-2</v>
      </c>
      <c r="E19">
        <f>VAR(E2:E5,E7,E9:E12,E15)</f>
        <v>5.7108756511110977E-2</v>
      </c>
      <c r="F19">
        <f>VAR(F2,F4,F6,F8:F16)</f>
        <v>6.3332497492265188E-2</v>
      </c>
      <c r="G19">
        <f>VAR(G2:G4,G6:G7,G9:G10,G12:G13,G15:G16)</f>
        <v>3.4404408316363752E-2</v>
      </c>
      <c r="H19">
        <f>VAR(H2:H9,H11:H13,H15:H16)</f>
        <v>3.27715131141025E-2</v>
      </c>
      <c r="I19">
        <f>VAR(I2:I4,I6:I10,I12:I13,I15:I16)</f>
        <v>4.3661377293181758E-2</v>
      </c>
      <c r="J19">
        <f>VAR(J2:J5,J7:J12,J14)</f>
        <v>2.284719976727274E-2</v>
      </c>
      <c r="K19">
        <f>VAR(K2:K7,K9:K10,K12:K13,K15:K16)</f>
        <v>3.5261362335606089E-2</v>
      </c>
      <c r="L19">
        <f>VAR(L2,L4:L14,L16)</f>
        <v>5.1897570747435874E-2</v>
      </c>
    </row>
    <row r="21" spans="1:12" x14ac:dyDescent="0.25">
      <c r="A21" s="3" t="s">
        <v>12</v>
      </c>
    </row>
    <row r="22" spans="1:12" x14ac:dyDescent="0.25">
      <c r="A22" s="6" t="s">
        <v>14</v>
      </c>
      <c r="B22" s="6" t="s">
        <v>15</v>
      </c>
      <c r="C22" s="6" t="s">
        <v>16</v>
      </c>
      <c r="D22" s="6" t="s">
        <v>17</v>
      </c>
      <c r="G22" s="4" t="s">
        <v>18</v>
      </c>
      <c r="H22" t="s">
        <v>14</v>
      </c>
      <c r="I22" t="s">
        <v>15</v>
      </c>
      <c r="J22" t="s">
        <v>16</v>
      </c>
      <c r="K22" t="s">
        <v>17</v>
      </c>
    </row>
    <row r="23" spans="1:12" x14ac:dyDescent="0.25">
      <c r="A23">
        <f t="shared" ref="A23:A37" si="0">AVERAGE(A2:C2)</f>
        <v>0.43424666666666667</v>
      </c>
      <c r="B23">
        <f t="shared" ref="B23:B37" si="1">AVERAGE(D2:F2)</f>
        <v>0.55949333333333329</v>
      </c>
      <c r="C23">
        <f t="shared" ref="C23:C37" si="2">AVERAGE(G2:I2)</f>
        <v>0.43585333333333337</v>
      </c>
      <c r="D23">
        <f t="shared" ref="D23:D37" si="3">AVERAGE(J2:L2)</f>
        <v>0.46001000000000003</v>
      </c>
      <c r="G23" t="s">
        <v>13</v>
      </c>
      <c r="H23">
        <f>AVERAGE(A18:C18)</f>
        <v>0.60635219405594398</v>
      </c>
      <c r="I23">
        <f>AVERAGE(D18:F18)</f>
        <v>0.50865419444444449</v>
      </c>
      <c r="J23">
        <f>AVERAGE(G18:I18)</f>
        <v>0.47853028554778554</v>
      </c>
      <c r="K23">
        <f>AVERAGE(J18:L18)</f>
        <v>0.57015341686091692</v>
      </c>
    </row>
    <row r="24" spans="1:12" x14ac:dyDescent="0.25">
      <c r="A24">
        <f t="shared" si="0"/>
        <v>0.59509666666666661</v>
      </c>
      <c r="B24">
        <f t="shared" si="1"/>
        <v>0.63365666666666665</v>
      </c>
      <c r="C24">
        <f t="shared" si="2"/>
        <v>0.55000666666666664</v>
      </c>
      <c r="D24">
        <f t="shared" si="3"/>
        <v>0.60162666666666664</v>
      </c>
      <c r="G24" t="s">
        <v>19</v>
      </c>
      <c r="H24">
        <f>AVERAGE(A19:C19)</f>
        <v>3.5950524077905215E-2</v>
      </c>
      <c r="I24">
        <f>AVERAGE(D19:F19)</f>
        <v>5.0697769270822347E-2</v>
      </c>
      <c r="J24">
        <f>AVERAGE(G19:I19)</f>
        <v>3.6945766241216003E-2</v>
      </c>
      <c r="K24">
        <f>AVERAGE(J19:L19)</f>
        <v>3.6668710950104905E-2</v>
      </c>
    </row>
    <row r="25" spans="1:12" x14ac:dyDescent="0.25">
      <c r="A25">
        <f t="shared" si="0"/>
        <v>0.68142666666666674</v>
      </c>
      <c r="B25">
        <f t="shared" si="1"/>
        <v>0.81034000000000006</v>
      </c>
      <c r="C25">
        <f t="shared" si="2"/>
        <v>0.7639999999999999</v>
      </c>
      <c r="D25">
        <f t="shared" si="3"/>
        <v>0.81696333333333337</v>
      </c>
      <c r="G25" t="s">
        <v>20</v>
      </c>
      <c r="H25">
        <f>COUNT(A2:C3,B4:B6,C4,C7,B8,A7,A9:C12,B13:C13,C14:C15,B15:B16,A16)</f>
        <v>32</v>
      </c>
      <c r="I25">
        <f>COUNTA(D2:F2,D3:E4,E5,F4,D6:D7,E7,F6,F8,E9:F12,D10:D16,F15,F14,F13,E15,F16)</f>
        <v>34</v>
      </c>
      <c r="J25">
        <f>COUNTA(G2:H4,I2:I4,H5:H6,G6,G7,I6:I8,H7:H8,G9:I9,G10,I10,H11,G12:I13,G15:I16)</f>
        <v>36</v>
      </c>
      <c r="K25">
        <f>COUNTA(J2:L2,J3:K5,L4:L6,K6,J7:L7,J8:J12,K9:L10,L8,L11:L12,K12,K13:L13,J14,K15:K16,L14,L16)</f>
        <v>36</v>
      </c>
    </row>
    <row r="26" spans="1:12" x14ac:dyDescent="0.25">
      <c r="A26">
        <f t="shared" si="0"/>
        <v>0.50778333333333336</v>
      </c>
      <c r="B26">
        <f t="shared" si="1"/>
        <v>0.52817999999999998</v>
      </c>
      <c r="C26">
        <f t="shared" si="2"/>
        <v>0.52281333333333324</v>
      </c>
      <c r="D26">
        <f t="shared" si="3"/>
        <v>0.47289333333333333</v>
      </c>
      <c r="G26" t="s">
        <v>21</v>
      </c>
      <c r="H26">
        <v>0.05</v>
      </c>
      <c r="I26">
        <v>0.05</v>
      </c>
      <c r="J26">
        <v>0.05</v>
      </c>
      <c r="K26">
        <v>0.05</v>
      </c>
    </row>
    <row r="27" spans="1:12" x14ac:dyDescent="0.25">
      <c r="A27">
        <f t="shared" si="0"/>
        <v>0.54660999999999993</v>
      </c>
      <c r="B27">
        <f t="shared" si="1"/>
        <v>0.5903533333333334</v>
      </c>
      <c r="C27">
        <f t="shared" si="2"/>
        <v>0.58651333333333333</v>
      </c>
      <c r="D27">
        <f t="shared" si="3"/>
        <v>0.67337666666666662</v>
      </c>
      <c r="G27" t="s">
        <v>22</v>
      </c>
      <c r="H27">
        <f>CONFIDENCE(H26,H28,H25)</f>
        <v>6.3694014473148888E-2</v>
      </c>
      <c r="I27">
        <f t="shared" ref="I27:K27" si="4">CONFIDENCE(I26,I28,I25)</f>
        <v>7.5917493692581703E-2</v>
      </c>
      <c r="J27">
        <f t="shared" si="4"/>
        <v>6.1041048557745232E-2</v>
      </c>
      <c r="K27">
        <f t="shared" si="4"/>
        <v>6.1630069199664128E-2</v>
      </c>
    </row>
    <row r="28" spans="1:12" x14ac:dyDescent="0.25">
      <c r="A28">
        <f t="shared" si="0"/>
        <v>0.72079000000000004</v>
      </c>
      <c r="B28">
        <f t="shared" si="1"/>
        <v>0.41555000000000003</v>
      </c>
      <c r="C28">
        <f t="shared" si="2"/>
        <v>0.48487999999999998</v>
      </c>
      <c r="D28">
        <f t="shared" si="3"/>
        <v>0.54660999999999993</v>
      </c>
      <c r="G28" t="s">
        <v>23</v>
      </c>
      <c r="H28">
        <f>STDEV(A2:C3,B4:B6,C4,C7,B8,A7,A9:C12,B13:C13,C14:C15,B15:B16,A16)</f>
        <v>0.18383386596984599</v>
      </c>
      <c r="I28">
        <f>STDEV(D2:F2,D3:E4,E5,F4,D6:D7,E7,F6,F8,E9:F12,D10:D16,F15,F14,F13,E15,F16)</f>
        <v>0.22585683063076667</v>
      </c>
      <c r="J28">
        <f>STDEV(G2:H4,I2:I4,H5:H6,G6,G7,I6:I8,H7:H8,G9:I9,G10,I10,H11,G12:I13,G15:I16)</f>
        <v>0.18686378639371717</v>
      </c>
      <c r="K28">
        <f>STDEV(J2:L2,J3:K5,L4:L6,K6,J7:L7,J8:J12,K9:L10,L8,L11:L12,K12,K13:L13,J14,K15:K16,L14,L16)</f>
        <v>0.18866694394119768</v>
      </c>
    </row>
    <row r="29" spans="1:12" x14ac:dyDescent="0.25">
      <c r="A29">
        <f t="shared" si="0"/>
        <v>0.52048666666666665</v>
      </c>
      <c r="B29">
        <f t="shared" si="1"/>
        <v>0.48165999999999998</v>
      </c>
      <c r="C29">
        <f t="shared" si="2"/>
        <v>0.4824633333333333</v>
      </c>
      <c r="D29">
        <f t="shared" si="3"/>
        <v>0.48282333333333333</v>
      </c>
    </row>
    <row r="30" spans="1:12" x14ac:dyDescent="0.25">
      <c r="A30">
        <f t="shared" si="0"/>
        <v>0.59116000000000002</v>
      </c>
      <c r="B30">
        <f t="shared" si="1"/>
        <v>0.59572333333333338</v>
      </c>
      <c r="C30">
        <f t="shared" si="2"/>
        <v>0.39649000000000001</v>
      </c>
      <c r="D30">
        <f t="shared" si="3"/>
        <v>0.35480333333333336</v>
      </c>
    </row>
    <row r="31" spans="1:12" x14ac:dyDescent="0.25">
      <c r="A31">
        <f t="shared" si="0"/>
        <v>0.77062000000000008</v>
      </c>
      <c r="B31">
        <f t="shared" si="1"/>
        <v>0.6707833333333334</v>
      </c>
      <c r="C31">
        <f t="shared" si="2"/>
        <v>0.50680000000000003</v>
      </c>
      <c r="D31">
        <f t="shared" si="3"/>
        <v>0.7704399999999999</v>
      </c>
    </row>
    <row r="32" spans="1:12" x14ac:dyDescent="0.25">
      <c r="A32">
        <f t="shared" si="0"/>
        <v>0.6332066666666667</v>
      </c>
      <c r="B32">
        <f t="shared" si="1"/>
        <v>0.48470066666666667</v>
      </c>
      <c r="C32">
        <f t="shared" si="2"/>
        <v>0.54732666666666663</v>
      </c>
      <c r="D32">
        <f t="shared" si="3"/>
        <v>0.61146666666666671</v>
      </c>
    </row>
    <row r="33" spans="1:9" x14ac:dyDescent="0.25">
      <c r="A33">
        <f t="shared" si="0"/>
        <v>0.46984999999999993</v>
      </c>
      <c r="B33">
        <f t="shared" si="1"/>
        <v>0.27965666666666666</v>
      </c>
      <c r="C33">
        <f t="shared" si="2"/>
        <v>0.32724999999999999</v>
      </c>
      <c r="D33">
        <f t="shared" si="3"/>
        <v>0.46394666666666673</v>
      </c>
    </row>
    <row r="34" spans="1:9" x14ac:dyDescent="0.25">
      <c r="A34">
        <f t="shared" si="0"/>
        <v>0.53936333333333331</v>
      </c>
      <c r="B34">
        <f t="shared" si="1"/>
        <v>0.13472966666666666</v>
      </c>
      <c r="C34">
        <f t="shared" si="2"/>
        <v>0.41564000000000006</v>
      </c>
      <c r="D34">
        <f t="shared" si="3"/>
        <v>0.46957999999999994</v>
      </c>
    </row>
    <row r="35" spans="1:9" x14ac:dyDescent="0.25">
      <c r="A35">
        <f t="shared" si="0"/>
        <v>0.54678666666666664</v>
      </c>
      <c r="B35">
        <f t="shared" si="1"/>
        <v>0.57228666666666672</v>
      </c>
      <c r="C35">
        <f t="shared" si="2"/>
        <v>0.5</v>
      </c>
      <c r="D35">
        <f t="shared" si="3"/>
        <v>0.5656633333333333</v>
      </c>
    </row>
    <row r="36" spans="1:9" x14ac:dyDescent="0.25">
      <c r="A36">
        <f t="shared" si="0"/>
        <v>0.46850666666666668</v>
      </c>
      <c r="B36">
        <f t="shared" si="1"/>
        <v>0.28592000000000001</v>
      </c>
      <c r="C36">
        <f t="shared" si="2"/>
        <v>0.47933333333333339</v>
      </c>
      <c r="D36">
        <f t="shared" si="3"/>
        <v>0.58453999999999995</v>
      </c>
    </row>
    <row r="37" spans="1:9" x14ac:dyDescent="0.25">
      <c r="A37">
        <f t="shared" si="0"/>
        <v>0.37721333333333334</v>
      </c>
      <c r="B37">
        <f t="shared" si="1"/>
        <v>0.33410333333333336</v>
      </c>
      <c r="C37">
        <f t="shared" si="2"/>
        <v>0.25192333333333333</v>
      </c>
      <c r="D37">
        <f t="shared" si="3"/>
        <v>0.45766000000000001</v>
      </c>
    </row>
    <row r="39" spans="1:9" x14ac:dyDescent="0.25">
      <c r="A39" t="s">
        <v>14</v>
      </c>
      <c r="B39" t="s">
        <v>15</v>
      </c>
      <c r="C39" t="s">
        <v>16</v>
      </c>
      <c r="D39" t="s">
        <v>17</v>
      </c>
    </row>
    <row r="40" spans="1:9" x14ac:dyDescent="0.25">
      <c r="A40">
        <f>AVERAGE(A23:A37)</f>
        <v>0.56020977777777792</v>
      </c>
      <c r="B40">
        <f>AVERAGE(B23:B37)</f>
        <v>0.49180913333333337</v>
      </c>
      <c r="C40">
        <f>AVERAGE(C23:C37)</f>
        <v>0.4834195555555556</v>
      </c>
      <c r="D40">
        <f>AVERAGE(D23:D37)</f>
        <v>0.55549355555555546</v>
      </c>
      <c r="F40" t="s">
        <v>24</v>
      </c>
    </row>
    <row r="41" spans="1:9" x14ac:dyDescent="0.25">
      <c r="A41">
        <f>STDEV(A23:A37)</f>
        <v>0.10800478838934095</v>
      </c>
      <c r="B41">
        <f t="shared" ref="B41:D41" si="5">STDEV(B23:B37)</f>
        <v>0.17571263154546324</v>
      </c>
      <c r="C41">
        <f t="shared" si="5"/>
        <v>0.11730839630747994</v>
      </c>
      <c r="D41">
        <f t="shared" si="5"/>
        <v>0.12580680955064485</v>
      </c>
      <c r="F41" t="s">
        <v>25</v>
      </c>
    </row>
    <row r="42" spans="1:9" x14ac:dyDescent="0.25">
      <c r="A42">
        <f>VAR(A23:A37)</f>
        <v>1.1665034315026317E-2</v>
      </c>
      <c r="B42">
        <f t="shared" ref="B42:D42" si="6">VAR(B23:B37)</f>
        <v>3.0874928884631725E-2</v>
      </c>
      <c r="C42">
        <f t="shared" si="6"/>
        <v>1.3761259844232774E-2</v>
      </c>
      <c r="D42">
        <f t="shared" si="6"/>
        <v>1.5827353329312226E-2</v>
      </c>
      <c r="F42" t="s">
        <v>26</v>
      </c>
    </row>
    <row r="43" spans="1:9" x14ac:dyDescent="0.25">
      <c r="A43">
        <f>COUNTA(A23:A37)</f>
        <v>15</v>
      </c>
      <c r="B43">
        <f t="shared" ref="B43:D43" si="7">COUNTA(B23:B37)</f>
        <v>15</v>
      </c>
      <c r="C43">
        <f t="shared" si="7"/>
        <v>15</v>
      </c>
      <c r="D43">
        <f t="shared" si="7"/>
        <v>15</v>
      </c>
      <c r="F43" t="s">
        <v>20</v>
      </c>
      <c r="I43" t="s">
        <v>35</v>
      </c>
    </row>
    <row r="44" spans="1:9" x14ac:dyDescent="0.25">
      <c r="A44">
        <v>0.05</v>
      </c>
      <c r="B44">
        <v>0.05</v>
      </c>
      <c r="C44">
        <v>0.05</v>
      </c>
      <c r="D44">
        <v>0.05</v>
      </c>
      <c r="F44" t="s">
        <v>21</v>
      </c>
    </row>
    <row r="45" spans="1:9" x14ac:dyDescent="0.25">
      <c r="A45">
        <f>CONFIDENCE(A44,A41,A43)</f>
        <v>5.4656959888110306E-2</v>
      </c>
      <c r="B45">
        <f t="shared" ref="B45:D45" si="8">CONFIDENCE(B44,B41,B43)</f>
        <v>8.8921226525568609E-2</v>
      </c>
      <c r="C45">
        <f t="shared" si="8"/>
        <v>5.9365148593256763E-2</v>
      </c>
      <c r="D45">
        <f t="shared" si="8"/>
        <v>6.3665860058657792E-2</v>
      </c>
      <c r="F45" t="s">
        <v>27</v>
      </c>
    </row>
    <row r="49" spans="1:9" x14ac:dyDescent="0.25">
      <c r="A49" s="7"/>
    </row>
    <row r="56" spans="1:9" x14ac:dyDescent="0.25">
      <c r="I56" s="7" t="s">
        <v>36</v>
      </c>
    </row>
  </sheetData>
  <hyperlinks>
    <hyperlink ref="I56" r:id="rId1" xr:uid="{79D9B0D1-3EC0-4345-828C-83C40E8ED54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92D4-C5A3-44FD-96CC-4A9DC1D8CA1B}">
  <dimension ref="A1:L44"/>
  <sheetViews>
    <sheetView topLeftCell="A10" zoomScale="70" zoomScaleNormal="70" workbookViewId="0">
      <selection activeCell="H23" sqref="H23:K23"/>
    </sheetView>
  </sheetViews>
  <sheetFormatPr defaultRowHeight="15" x14ac:dyDescent="0.25"/>
  <cols>
    <col min="1" max="1" width="15.5703125" customWidth="1"/>
    <col min="6" max="6" width="23.28515625" customWidth="1"/>
    <col min="7" max="7" width="25.5703125" customWidth="1"/>
  </cols>
  <sheetData>
    <row r="1" spans="1:1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>
        <v>0.34461000000000003</v>
      </c>
      <c r="B2">
        <v>0.36447000000000002</v>
      </c>
      <c r="C2">
        <v>0.22866</v>
      </c>
      <c r="D2">
        <v>0.46966999999999998</v>
      </c>
      <c r="E2">
        <v>0.46268999999999999</v>
      </c>
      <c r="F2">
        <v>0.43531999999999998</v>
      </c>
      <c r="G2">
        <v>0.55125999999999997</v>
      </c>
      <c r="H2">
        <v>0.58560999999999996</v>
      </c>
      <c r="I2">
        <v>0.59580999999999995</v>
      </c>
      <c r="J2">
        <v>0.56361000000000006</v>
      </c>
      <c r="K2">
        <v>0.43048999999999998</v>
      </c>
      <c r="L2">
        <v>0.42243999999999998</v>
      </c>
    </row>
    <row r="3" spans="1:12" x14ac:dyDescent="0.25">
      <c r="A3">
        <v>0.63768000000000002</v>
      </c>
      <c r="B3">
        <v>0.22491</v>
      </c>
      <c r="C3">
        <v>0.36231999999999998</v>
      </c>
      <c r="D3">
        <v>0.22974</v>
      </c>
      <c r="E3">
        <v>0.37091000000000002</v>
      </c>
      <c r="F3">
        <v>0.95062000000000002</v>
      </c>
      <c r="G3">
        <v>0.37413000000000002</v>
      </c>
      <c r="H3">
        <v>0.38002999999999998</v>
      </c>
      <c r="I3">
        <v>0.5</v>
      </c>
      <c r="J3">
        <v>0.37091000000000002</v>
      </c>
      <c r="K3">
        <v>0.22813</v>
      </c>
      <c r="L3">
        <v>0.5</v>
      </c>
    </row>
    <row r="4" spans="1:12" x14ac:dyDescent="0.25">
      <c r="A4">
        <v>0.46538000000000002</v>
      </c>
      <c r="B4">
        <v>0.5</v>
      </c>
      <c r="C4">
        <v>0.56789999999999996</v>
      </c>
      <c r="D4">
        <v>0.44980999999999999</v>
      </c>
      <c r="E4">
        <v>0.51529999999999998</v>
      </c>
      <c r="F4">
        <v>0.58186000000000004</v>
      </c>
      <c r="G4">
        <v>0.5</v>
      </c>
      <c r="H4">
        <v>0.56252999999999997</v>
      </c>
      <c r="I4">
        <v>0.63714000000000004</v>
      </c>
      <c r="J4">
        <v>0.45894000000000001</v>
      </c>
      <c r="K4">
        <v>0.5</v>
      </c>
      <c r="L4">
        <v>0.57004999999999995</v>
      </c>
    </row>
    <row r="5" spans="1:12" x14ac:dyDescent="0.25">
      <c r="A5">
        <v>0.67901</v>
      </c>
      <c r="B5">
        <v>0.5</v>
      </c>
      <c r="C5">
        <v>0.56843999999999995</v>
      </c>
      <c r="D5">
        <v>0.62426000000000004</v>
      </c>
      <c r="E5">
        <v>0.5</v>
      </c>
      <c r="F5">
        <v>0.5</v>
      </c>
      <c r="G5">
        <v>0.55125999999999997</v>
      </c>
      <c r="H5">
        <v>0.5</v>
      </c>
      <c r="I5">
        <v>0.68545</v>
      </c>
      <c r="J5">
        <v>0.67847999999999997</v>
      </c>
      <c r="K5">
        <v>0.66344999999999998</v>
      </c>
      <c r="L5">
        <v>0.76382000000000005</v>
      </c>
    </row>
    <row r="6" spans="1:12" x14ac:dyDescent="0.25">
      <c r="A6">
        <v>0.5</v>
      </c>
      <c r="B6">
        <v>0.89156999999999997</v>
      </c>
      <c r="C6">
        <v>0.75039999999999996</v>
      </c>
      <c r="D6">
        <v>0.75094000000000005</v>
      </c>
      <c r="E6">
        <v>0.89265000000000005</v>
      </c>
      <c r="F6">
        <v>0.76704000000000006</v>
      </c>
      <c r="G6">
        <v>0.77241000000000004</v>
      </c>
      <c r="H6">
        <v>0.90337999999999996</v>
      </c>
      <c r="I6">
        <v>0.63929000000000002</v>
      </c>
      <c r="J6">
        <v>0.22597999999999999</v>
      </c>
      <c r="K6">
        <v>0.77186999999999995</v>
      </c>
      <c r="L6">
        <v>0.38002999999999998</v>
      </c>
    </row>
    <row r="7" spans="1:12" x14ac:dyDescent="0.25">
      <c r="A7">
        <v>0.70799999999999996</v>
      </c>
      <c r="B7">
        <v>0.5</v>
      </c>
      <c r="C7">
        <v>0.77456000000000003</v>
      </c>
      <c r="D7">
        <v>0.84326000000000001</v>
      </c>
      <c r="E7">
        <v>0.63714000000000004</v>
      </c>
      <c r="F7">
        <v>0.29630000000000001</v>
      </c>
      <c r="G7">
        <v>0.32635999999999998</v>
      </c>
      <c r="H7">
        <v>0.5</v>
      </c>
      <c r="I7">
        <v>0.64251000000000003</v>
      </c>
      <c r="J7">
        <v>0.76704000000000006</v>
      </c>
      <c r="K7">
        <v>0.36769000000000002</v>
      </c>
      <c r="L7">
        <v>0.5</v>
      </c>
    </row>
    <row r="8" spans="1:12" x14ac:dyDescent="0.25">
      <c r="A8">
        <v>0.71497999999999995</v>
      </c>
      <c r="B8">
        <v>0.36875999999999998</v>
      </c>
      <c r="C8">
        <v>0.5</v>
      </c>
      <c r="D8">
        <v>0.43586000000000003</v>
      </c>
      <c r="E8">
        <v>0.43586000000000003</v>
      </c>
      <c r="F8">
        <v>0.41814000000000001</v>
      </c>
      <c r="G8">
        <v>0.5</v>
      </c>
      <c r="H8">
        <v>0.13849</v>
      </c>
      <c r="I8">
        <v>0.31884000000000001</v>
      </c>
      <c r="J8">
        <v>0.25120999999999999</v>
      </c>
      <c r="K8">
        <v>0.36016999999999999</v>
      </c>
      <c r="L8">
        <v>0.52281</v>
      </c>
    </row>
    <row r="9" spans="1:12" x14ac:dyDescent="0.25">
      <c r="A9">
        <v>0.28824</v>
      </c>
      <c r="B9">
        <v>0.5</v>
      </c>
      <c r="C9">
        <v>0.58238999999999996</v>
      </c>
      <c r="D9">
        <v>0.77402000000000004</v>
      </c>
      <c r="E9">
        <v>0.20558000000000001</v>
      </c>
      <c r="F9">
        <v>0.3548</v>
      </c>
      <c r="G9">
        <v>0.18035000000000001</v>
      </c>
      <c r="H9">
        <v>0.17713000000000001</v>
      </c>
      <c r="I9">
        <v>0.16586000000000001</v>
      </c>
      <c r="J9">
        <v>0.48470000000000002</v>
      </c>
      <c r="K9">
        <v>0.44069000000000003</v>
      </c>
      <c r="L9">
        <v>0.39345000000000002</v>
      </c>
    </row>
    <row r="10" spans="1:12" x14ac:dyDescent="0.25">
      <c r="A10">
        <v>0.64251000000000003</v>
      </c>
      <c r="B10">
        <v>0.65164</v>
      </c>
      <c r="C10">
        <v>0.5</v>
      </c>
      <c r="D10">
        <v>0.65808</v>
      </c>
      <c r="E10">
        <v>0.77186999999999995</v>
      </c>
      <c r="F10">
        <v>0.58238999999999996</v>
      </c>
      <c r="G10">
        <v>0.5</v>
      </c>
      <c r="H10">
        <v>0.64681</v>
      </c>
      <c r="I10">
        <v>0.59045000000000003</v>
      </c>
      <c r="J10">
        <v>0.5</v>
      </c>
      <c r="K10">
        <v>0.65325</v>
      </c>
      <c r="L10">
        <v>0.5</v>
      </c>
    </row>
    <row r="11" spans="1:12" x14ac:dyDescent="0.25">
      <c r="A11">
        <v>0.77080000000000004</v>
      </c>
      <c r="B11">
        <v>0.39989000000000002</v>
      </c>
      <c r="C11">
        <v>0.64842</v>
      </c>
      <c r="D11">
        <v>0.64734000000000003</v>
      </c>
      <c r="E11">
        <v>0.61836000000000002</v>
      </c>
      <c r="F11">
        <v>0.22919999999999999</v>
      </c>
      <c r="G11">
        <v>0.16048999999999999</v>
      </c>
      <c r="H11">
        <v>0.5</v>
      </c>
      <c r="I11">
        <v>0.5</v>
      </c>
      <c r="J11">
        <v>0.76543000000000005</v>
      </c>
      <c r="K11">
        <v>0.38968999999999998</v>
      </c>
      <c r="L11">
        <v>0.67793999999999999</v>
      </c>
    </row>
    <row r="12" spans="1:12" x14ac:dyDescent="0.25">
      <c r="A12">
        <v>0.37896000000000002</v>
      </c>
      <c r="B12">
        <v>0.12077</v>
      </c>
      <c r="C12">
        <v>0.37465999999999999</v>
      </c>
      <c r="D12">
        <v>0.22276000000000001</v>
      </c>
      <c r="E12">
        <v>0.23241999999999999</v>
      </c>
      <c r="F12">
        <v>0.38111</v>
      </c>
      <c r="G12">
        <v>0.63875000000000004</v>
      </c>
      <c r="H12">
        <v>0.63553000000000004</v>
      </c>
      <c r="I12">
        <v>0.76973000000000003</v>
      </c>
      <c r="J12">
        <v>0.64681</v>
      </c>
      <c r="K12">
        <v>0.63875000000000004</v>
      </c>
      <c r="L12">
        <v>0.89587000000000006</v>
      </c>
    </row>
    <row r="13" spans="1:12" x14ac:dyDescent="0.25">
      <c r="A13">
        <v>0.5</v>
      </c>
      <c r="B13">
        <v>0.52442</v>
      </c>
      <c r="C13">
        <v>0.5</v>
      </c>
      <c r="D13">
        <v>0.54857999999999996</v>
      </c>
      <c r="E13">
        <v>0.47021000000000002</v>
      </c>
      <c r="F13">
        <v>0.43531999999999998</v>
      </c>
      <c r="G13">
        <v>0.57755999999999996</v>
      </c>
      <c r="H13">
        <v>0.57755999999999996</v>
      </c>
      <c r="I13">
        <v>0.55717000000000005</v>
      </c>
      <c r="J13">
        <v>0.5</v>
      </c>
      <c r="K13">
        <v>0.51959</v>
      </c>
      <c r="L13">
        <v>0.5</v>
      </c>
    </row>
    <row r="14" spans="1:12" x14ac:dyDescent="0.25">
      <c r="A14">
        <v>0.58186000000000004</v>
      </c>
      <c r="B14">
        <v>0.54052999999999995</v>
      </c>
      <c r="C14">
        <v>0.56789999999999996</v>
      </c>
      <c r="D14">
        <v>0.63392000000000004</v>
      </c>
      <c r="E14">
        <v>0.42995</v>
      </c>
      <c r="F14">
        <v>0.44980999999999999</v>
      </c>
      <c r="G14">
        <v>0.54857999999999996</v>
      </c>
      <c r="H14">
        <v>0.43747000000000003</v>
      </c>
      <c r="I14">
        <v>0.60172000000000003</v>
      </c>
      <c r="J14">
        <v>0.56682999999999995</v>
      </c>
      <c r="K14">
        <v>0.40472000000000002</v>
      </c>
      <c r="L14">
        <v>0.64359</v>
      </c>
    </row>
    <row r="15" spans="1:12" x14ac:dyDescent="0.25">
      <c r="A15">
        <v>0.88782000000000005</v>
      </c>
      <c r="B15">
        <v>0.65217000000000003</v>
      </c>
      <c r="C15">
        <v>0.23779</v>
      </c>
      <c r="D15">
        <v>0.18518999999999999</v>
      </c>
      <c r="E15">
        <v>0.31186000000000003</v>
      </c>
      <c r="F15">
        <v>0.70047999999999999</v>
      </c>
      <c r="G15">
        <v>0.63983000000000001</v>
      </c>
      <c r="H15">
        <v>0.75522999999999996</v>
      </c>
      <c r="I15">
        <v>0.5</v>
      </c>
      <c r="J15">
        <v>0.62587000000000004</v>
      </c>
      <c r="K15">
        <v>0.22652</v>
      </c>
      <c r="L15">
        <v>0.88888999999999996</v>
      </c>
    </row>
    <row r="16" spans="1:12" x14ac:dyDescent="0.25">
      <c r="A16">
        <v>0.37297999999999998</v>
      </c>
      <c r="B16">
        <v>0.5</v>
      </c>
      <c r="C16">
        <v>1</v>
      </c>
      <c r="D16">
        <v>0.5</v>
      </c>
      <c r="E16">
        <v>0.64837999999999996</v>
      </c>
      <c r="F16">
        <v>0.63683999999999996</v>
      </c>
      <c r="G16">
        <v>0.39261000000000001</v>
      </c>
      <c r="H16">
        <v>0.5</v>
      </c>
      <c r="I16">
        <v>0.5</v>
      </c>
      <c r="J16">
        <v>0.50634999999999997</v>
      </c>
      <c r="K16">
        <v>0.66396999999999995</v>
      </c>
      <c r="L16">
        <v>0.62702000000000002</v>
      </c>
    </row>
    <row r="18" spans="1:12" x14ac:dyDescent="0.25">
      <c r="A18">
        <f>AVERAGE(A2:A5,A7:A12,A14:A16)</f>
        <v>0.57483307692307695</v>
      </c>
      <c r="B18">
        <f>AVERAGE(B2:B3,B6,B8,B10:B15)</f>
        <v>0.47391299999999992</v>
      </c>
      <c r="C18">
        <f>AVERAGE(C2:C7,C9,C11:C12,C14:C15)</f>
        <v>0.51485818181818177</v>
      </c>
      <c r="D18">
        <f>AVERAGE(D2:D15)</f>
        <v>0.53381642857142864</v>
      </c>
      <c r="E18">
        <f>AVERAGE(E2:E4,E6:E16)</f>
        <v>0.50022714285714287</v>
      </c>
      <c r="F18">
        <f>AVERAGE(F2:F4,F6:F16)</f>
        <v>0.51565928571428565</v>
      </c>
      <c r="G18">
        <f>AVERAGE(G2:G3,G5:G7,G9,G11:G16)</f>
        <v>0.47613250000000001</v>
      </c>
      <c r="H18">
        <f>AVERAGE(H2:H4,H6,H8:H10,H12:H15)</f>
        <v>0.5272518181818181</v>
      </c>
      <c r="I18">
        <f>AVERAGE(I2,I4:I10,I12:I14)</f>
        <v>0.56399727272727285</v>
      </c>
      <c r="J18">
        <f>AVERAGE(J2:J9,J11:J12,J14:J16)</f>
        <v>0.53170461538461544</v>
      </c>
      <c r="K18">
        <f>AVERAGE(K2:K3,K5:K16)</f>
        <v>0.48278428571428572</v>
      </c>
      <c r="L18">
        <f>AVERAGE(L2,L4:L6,L8:L9,L11:L12,L14:L16)</f>
        <v>0.61690090909090911</v>
      </c>
    </row>
    <row r="19" spans="1:12" x14ac:dyDescent="0.25">
      <c r="A19">
        <f>VAR(A2:A5,A7:A12,A14:A16)</f>
        <v>3.4949975739743566E-2</v>
      </c>
      <c r="B19">
        <f>VAR(B2:B3,B6,B8,B10:B15)</f>
        <v>5.1112821845555628E-2</v>
      </c>
      <c r="C19">
        <f>VAR(C2:C7,C9,C11:C12,C14:C15)</f>
        <v>3.5542177216363727E-2</v>
      </c>
      <c r="D19">
        <f>VAR(D2:D15)</f>
        <v>4.4528442932417533E-2</v>
      </c>
      <c r="E19">
        <f>VAR(E2:E4,E6:E16)</f>
        <v>3.8830560268131843E-2</v>
      </c>
      <c r="F19">
        <f>VAR(F2:F4,F6:F16)</f>
        <v>3.9305665468681264E-2</v>
      </c>
      <c r="G19">
        <f>VAR(G2:G3,G5:G7,G9,G11:G16)</f>
        <v>3.5888721384090931E-2</v>
      </c>
      <c r="H19">
        <f>VAR(H2:H4,H6,H8:H10,H12:H15)</f>
        <v>5.301020021636367E-2</v>
      </c>
      <c r="I19">
        <f>VAR(I2,I4:I10,I12:I14)</f>
        <v>2.9605661021818098E-2</v>
      </c>
      <c r="J19">
        <f>VAR(J2:J9,J11:J12,J14:J16)</f>
        <v>3.0172340443589778E-2</v>
      </c>
      <c r="K19">
        <f>VAR(K2:K3,K5:K16)</f>
        <v>2.9372752687912021E-2</v>
      </c>
      <c r="L19">
        <f>VAR(L2,L4:L6,L8:L9,L11:L12,L14:L16)</f>
        <v>3.3282880109090932E-2</v>
      </c>
    </row>
    <row r="21" spans="1:12" x14ac:dyDescent="0.25">
      <c r="A21" s="3" t="s">
        <v>12</v>
      </c>
    </row>
    <row r="22" spans="1:12" x14ac:dyDescent="0.25">
      <c r="A22">
        <f t="shared" ref="A22:A36" si="0">AVERAGE(A2:C2)</f>
        <v>0.31258000000000002</v>
      </c>
      <c r="B22">
        <f t="shared" ref="B22:B36" si="1">AVERAGE(D2:F2)</f>
        <v>0.45589333333333332</v>
      </c>
      <c r="C22">
        <f t="shared" ref="C22:C36" si="2">AVERAGE(G2:I2)</f>
        <v>0.57755999999999996</v>
      </c>
      <c r="D22">
        <f t="shared" ref="D22:D36" si="3">AVERAGE(J2:L2)</f>
        <v>0.47217999999999999</v>
      </c>
      <c r="G22" s="4" t="s">
        <v>18</v>
      </c>
      <c r="H22" t="s">
        <v>14</v>
      </c>
      <c r="I22" t="s">
        <v>15</v>
      </c>
      <c r="J22" t="s">
        <v>16</v>
      </c>
      <c r="K22" t="s">
        <v>17</v>
      </c>
    </row>
    <row r="23" spans="1:12" x14ac:dyDescent="0.25">
      <c r="A23">
        <f t="shared" si="0"/>
        <v>0.4083033333333333</v>
      </c>
      <c r="B23">
        <f t="shared" si="1"/>
        <v>0.51709000000000005</v>
      </c>
      <c r="C23">
        <f t="shared" si="2"/>
        <v>0.41805333333333333</v>
      </c>
      <c r="D23">
        <f t="shared" si="3"/>
        <v>0.36634666666666665</v>
      </c>
      <c r="G23" t="s">
        <v>13</v>
      </c>
      <c r="H23">
        <f>AVERAGE(A18:C18)</f>
        <v>0.52120141958041943</v>
      </c>
      <c r="I23">
        <f>AVERAGE(D18:F18)</f>
        <v>0.51656761904761905</v>
      </c>
      <c r="J23">
        <f>AVERAGE(G18:I18)</f>
        <v>0.5224605303030303</v>
      </c>
      <c r="K23">
        <f>AVERAGE(J18:L18)</f>
        <v>0.54379660339660341</v>
      </c>
    </row>
    <row r="24" spans="1:12" x14ac:dyDescent="0.25">
      <c r="A24">
        <f t="shared" si="0"/>
        <v>0.51109333333333329</v>
      </c>
      <c r="B24">
        <f t="shared" si="1"/>
        <v>0.51565666666666665</v>
      </c>
      <c r="C24">
        <f t="shared" si="2"/>
        <v>0.56655666666666671</v>
      </c>
      <c r="D24">
        <f t="shared" si="3"/>
        <v>0.50966333333333325</v>
      </c>
      <c r="G24" t="s">
        <v>19</v>
      </c>
      <c r="H24">
        <f>AVERAGE(A19:C19)</f>
        <v>4.0534991600554307E-2</v>
      </c>
      <c r="I24">
        <f>AVERAGE(D19:F19)</f>
        <v>4.0888222889743545E-2</v>
      </c>
      <c r="J24">
        <f>AVERAGE(G19:I19)</f>
        <v>3.9501527540757565E-2</v>
      </c>
      <c r="K24">
        <f>AVERAGE(J19:L19)</f>
        <v>3.0942657746864246E-2</v>
      </c>
    </row>
    <row r="25" spans="1:12" x14ac:dyDescent="0.25">
      <c r="A25">
        <f t="shared" si="0"/>
        <v>0.58248333333333324</v>
      </c>
      <c r="B25">
        <f t="shared" si="1"/>
        <v>0.54142000000000001</v>
      </c>
      <c r="C25">
        <f t="shared" si="2"/>
        <v>0.57890333333333333</v>
      </c>
      <c r="D25">
        <f t="shared" si="3"/>
        <v>0.70191666666666663</v>
      </c>
      <c r="G25" t="s">
        <v>20</v>
      </c>
      <c r="H25">
        <f>COUNT(A2:C3,C4:C7,B6,A4:A5,A7,A8:B8,A9,C9,A10:B10,A11:C12,B13:B15,A14:A16,C14:C15)</f>
        <v>34</v>
      </c>
      <c r="I25">
        <f>COUNTA(D2:D15,E2:E4,E6:E16,F2:F4,F6:F16)</f>
        <v>42</v>
      </c>
      <c r="J25">
        <f>COUNTA(G2:I2,G3:H3,H4:I4,I5,G5,G6:I6,I7:I10,H8:H10,G7,G9,G11:G16,H12:H15,I12:I14)</f>
        <v>34</v>
      </c>
      <c r="K25">
        <f>COUNTA(J2:J9,J11:J12,J14:L16,K5:K13,K2:L2,K3,L4:L6,L8:L9,L11:L12)</f>
        <v>38</v>
      </c>
    </row>
    <row r="26" spans="1:12" x14ac:dyDescent="0.25">
      <c r="A26">
        <f t="shared" si="0"/>
        <v>0.7139899999999999</v>
      </c>
      <c r="B26">
        <f t="shared" si="1"/>
        <v>0.80354333333333339</v>
      </c>
      <c r="C26">
        <f t="shared" si="2"/>
        <v>0.77169333333333334</v>
      </c>
      <c r="D26">
        <f t="shared" si="3"/>
        <v>0.45929333333333328</v>
      </c>
      <c r="G26" t="s">
        <v>21</v>
      </c>
      <c r="H26">
        <v>0.05</v>
      </c>
      <c r="I26">
        <v>0.05</v>
      </c>
      <c r="J26">
        <v>0.05</v>
      </c>
      <c r="K26">
        <v>0.05</v>
      </c>
    </row>
    <row r="27" spans="1:12" x14ac:dyDescent="0.25">
      <c r="A27">
        <f t="shared" si="0"/>
        <v>0.66085333333333329</v>
      </c>
      <c r="B27">
        <f t="shared" si="1"/>
        <v>0.59223333333333328</v>
      </c>
      <c r="C27">
        <f t="shared" si="2"/>
        <v>0.4896233333333333</v>
      </c>
      <c r="D27">
        <f t="shared" si="3"/>
        <v>0.54491000000000001</v>
      </c>
      <c r="G27" t="s">
        <v>22</v>
      </c>
      <c r="H27">
        <f>CONFIDENCE(H26,H28,H25)</f>
        <v>6.656936636138161E-2</v>
      </c>
      <c r="I27">
        <f t="shared" ref="I27:K27" si="4">CONFIDENCE(I26,I28,I25)</f>
        <v>5.9791312113242373E-2</v>
      </c>
      <c r="J27">
        <f t="shared" si="4"/>
        <v>6.5833069482466561E-2</v>
      </c>
      <c r="K27">
        <f t="shared" si="4"/>
        <v>5.6982240223645043E-2</v>
      </c>
    </row>
    <row r="28" spans="1:12" x14ac:dyDescent="0.25">
      <c r="A28">
        <f t="shared" si="0"/>
        <v>0.52791333333333335</v>
      </c>
      <c r="B28">
        <f t="shared" si="1"/>
        <v>0.42995333333333335</v>
      </c>
      <c r="C28">
        <f t="shared" si="2"/>
        <v>0.31911</v>
      </c>
      <c r="D28">
        <f t="shared" si="3"/>
        <v>0.37806333333333336</v>
      </c>
      <c r="G28" t="s">
        <v>23</v>
      </c>
      <c r="H28">
        <f>STDEV(A2:C3,C4:C7,B6,A4:A5,A7,A8:B8,A9,C9,A10:B10,A11:C12,B13:B15,A14:A16,C14:C15)</f>
        <v>0.19804587022278353</v>
      </c>
      <c r="I28">
        <f>STDEV(D2:D15,E2:E4,E6:E16,F2:F4,F6:F16)</f>
        <v>0.19770362765845914</v>
      </c>
      <c r="J28">
        <f>STDEV(G2:I2,G3:H3,H4:I4,I5,G5,G6:I6,I7:I10,H8:H10,G7,G9,G11:G16,H12:H15,I12:I14)</f>
        <v>0.19585536482822347</v>
      </c>
      <c r="K28">
        <f>STDEV(J2:J9,J11:J12,J14:L16,K5:K13,K2:L2,K3,L4:L6,L8:L9,L11:L12)</f>
        <v>0.17921866030492928</v>
      </c>
    </row>
    <row r="29" spans="1:12" x14ac:dyDescent="0.25">
      <c r="A29">
        <f t="shared" si="0"/>
        <v>0.45687666666666665</v>
      </c>
      <c r="B29">
        <f t="shared" si="1"/>
        <v>0.44480000000000003</v>
      </c>
      <c r="C29">
        <f t="shared" si="2"/>
        <v>0.17444666666666667</v>
      </c>
      <c r="D29">
        <f t="shared" si="3"/>
        <v>0.43961333333333336</v>
      </c>
    </row>
    <row r="30" spans="1:12" x14ac:dyDescent="0.25">
      <c r="A30">
        <f t="shared" si="0"/>
        <v>0.59805000000000008</v>
      </c>
      <c r="B30">
        <f t="shared" si="1"/>
        <v>0.67078000000000004</v>
      </c>
      <c r="C30">
        <f t="shared" si="2"/>
        <v>0.57908666666666664</v>
      </c>
      <c r="D30">
        <f t="shared" si="3"/>
        <v>0.55108333333333326</v>
      </c>
    </row>
    <row r="31" spans="1:12" x14ac:dyDescent="0.25">
      <c r="A31">
        <f t="shared" si="0"/>
        <v>0.60636999999999996</v>
      </c>
      <c r="B31">
        <f t="shared" si="1"/>
        <v>0.49830000000000002</v>
      </c>
      <c r="C31">
        <f t="shared" si="2"/>
        <v>0.38683000000000001</v>
      </c>
      <c r="D31">
        <f t="shared" si="3"/>
        <v>0.61102000000000001</v>
      </c>
    </row>
    <row r="32" spans="1:12" x14ac:dyDescent="0.25">
      <c r="A32">
        <f t="shared" si="0"/>
        <v>0.29146333333333335</v>
      </c>
      <c r="B32">
        <f t="shared" si="1"/>
        <v>0.27876333333333331</v>
      </c>
      <c r="C32">
        <f t="shared" si="2"/>
        <v>0.6813366666666667</v>
      </c>
      <c r="D32">
        <f t="shared" si="3"/>
        <v>0.72714333333333336</v>
      </c>
    </row>
    <row r="33" spans="1:6" x14ac:dyDescent="0.25">
      <c r="A33">
        <f t="shared" si="0"/>
        <v>0.50814000000000004</v>
      </c>
      <c r="B33">
        <f t="shared" si="1"/>
        <v>0.48470333333333332</v>
      </c>
      <c r="C33">
        <f t="shared" si="2"/>
        <v>0.57076333333333329</v>
      </c>
      <c r="D33">
        <f t="shared" si="3"/>
        <v>0.50653000000000004</v>
      </c>
    </row>
    <row r="34" spans="1:6" x14ac:dyDescent="0.25">
      <c r="A34">
        <f t="shared" si="0"/>
        <v>0.56342999999999999</v>
      </c>
      <c r="B34">
        <f t="shared" si="1"/>
        <v>0.50456000000000001</v>
      </c>
      <c r="C34">
        <f t="shared" si="2"/>
        <v>0.5292566666666666</v>
      </c>
      <c r="D34">
        <f t="shared" si="3"/>
        <v>0.53837999999999997</v>
      </c>
    </row>
    <row r="35" spans="1:6" x14ac:dyDescent="0.25">
      <c r="A35">
        <f t="shared" si="0"/>
        <v>0.59259333333333331</v>
      </c>
      <c r="B35">
        <f t="shared" si="1"/>
        <v>0.39917666666666668</v>
      </c>
      <c r="C35">
        <f t="shared" si="2"/>
        <v>0.63168666666666662</v>
      </c>
      <c r="D35">
        <f t="shared" si="3"/>
        <v>0.58042666666666665</v>
      </c>
    </row>
    <row r="36" spans="1:6" x14ac:dyDescent="0.25">
      <c r="A36">
        <f t="shared" si="0"/>
        <v>0.6243266666666667</v>
      </c>
      <c r="B36">
        <f t="shared" si="1"/>
        <v>0.59507333333333323</v>
      </c>
      <c r="C36">
        <f t="shared" si="2"/>
        <v>0.4642033333333333</v>
      </c>
      <c r="D36">
        <f t="shared" si="3"/>
        <v>0.59911333333333328</v>
      </c>
    </row>
    <row r="38" spans="1:6" x14ac:dyDescent="0.25">
      <c r="A38" t="s">
        <v>14</v>
      </c>
      <c r="B38" t="s">
        <v>15</v>
      </c>
      <c r="C38" t="s">
        <v>16</v>
      </c>
      <c r="D38" t="s">
        <v>17</v>
      </c>
    </row>
    <row r="39" spans="1:6" x14ac:dyDescent="0.25">
      <c r="A39">
        <f>AVERAGE(A22:A36)</f>
        <v>0.53056444444444451</v>
      </c>
      <c r="B39">
        <f t="shared" ref="B39:D39" si="5">AVERAGE(B22:B36)</f>
        <v>0.51546311111111109</v>
      </c>
      <c r="C39">
        <f t="shared" si="5"/>
        <v>0.51594066666666671</v>
      </c>
      <c r="D39">
        <f t="shared" si="5"/>
        <v>0.53237888888888885</v>
      </c>
      <c r="F39" t="s">
        <v>24</v>
      </c>
    </row>
    <row r="40" spans="1:6" x14ac:dyDescent="0.25">
      <c r="A40">
        <f>STDEV(A22:A36)</f>
        <v>0.12050157085630016</v>
      </c>
      <c r="B40">
        <f t="shared" ref="B40:D40" si="6">STDEV(B22:B36)</f>
        <v>0.12153310575473525</v>
      </c>
      <c r="C40">
        <f t="shared" si="6"/>
        <v>0.14847731626333324</v>
      </c>
      <c r="D40">
        <f t="shared" si="6"/>
        <v>0.10361351559404149</v>
      </c>
      <c r="F40" t="s">
        <v>25</v>
      </c>
    </row>
    <row r="41" spans="1:6" x14ac:dyDescent="0.25">
      <c r="A41">
        <f>VAR(A22:A36)</f>
        <v>1.4520628578835928E-2</v>
      </c>
      <c r="B41">
        <f t="shared" ref="B41:D41" si="7">VAR(B22:B36)</f>
        <v>1.4770295794391661E-2</v>
      </c>
      <c r="C41">
        <f t="shared" si="7"/>
        <v>2.2045513444761879E-2</v>
      </c>
      <c r="D41">
        <f t="shared" si="7"/>
        <v>1.073576061375668E-2</v>
      </c>
      <c r="F41" t="s">
        <v>26</v>
      </c>
    </row>
    <row r="42" spans="1:6" x14ac:dyDescent="0.25">
      <c r="A42">
        <f>COUNTA(A22:A36)</f>
        <v>15</v>
      </c>
      <c r="B42">
        <f t="shared" ref="B42:D42" si="8">COUNTA(B22:B36)</f>
        <v>15</v>
      </c>
      <c r="C42">
        <f t="shared" si="8"/>
        <v>15</v>
      </c>
      <c r="D42">
        <f t="shared" si="8"/>
        <v>15</v>
      </c>
      <c r="F42" t="s">
        <v>20</v>
      </c>
    </row>
    <row r="43" spans="1:6" x14ac:dyDescent="0.25">
      <c r="A43">
        <v>0.05</v>
      </c>
      <c r="B43">
        <v>0.05</v>
      </c>
      <c r="C43">
        <v>0.05</v>
      </c>
      <c r="D43">
        <v>0.05</v>
      </c>
      <c r="F43" t="s">
        <v>21</v>
      </c>
    </row>
    <row r="44" spans="1:6" x14ac:dyDescent="0.25">
      <c r="A44">
        <f>CONFIDENCE(A43,A40,A42)</f>
        <v>6.0981088181059573E-2</v>
      </c>
      <c r="B44">
        <f t="shared" ref="B44:D44" si="9">CONFIDENCE(B43,B40,B42)</f>
        <v>6.1503107273062317E-2</v>
      </c>
      <c r="C44">
        <f t="shared" si="9"/>
        <v>7.5138508582089661E-2</v>
      </c>
      <c r="D44">
        <f t="shared" si="9"/>
        <v>5.2434710072988958E-2</v>
      </c>
      <c r="F44" t="s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opLeftCell="A13" zoomScale="70" zoomScaleNormal="70" workbookViewId="0">
      <selection activeCell="H30" sqref="H30:K30"/>
    </sheetView>
  </sheetViews>
  <sheetFormatPr defaultRowHeight="15" x14ac:dyDescent="0.25"/>
  <cols>
    <col min="1" max="1" width="16.85546875" customWidth="1"/>
    <col min="6" max="6" width="23.42578125" customWidth="1"/>
    <col min="7" max="7" width="34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0.55447999999999997</v>
      </c>
      <c r="B2" s="2">
        <v>0.69081999999999999</v>
      </c>
      <c r="C2" s="2">
        <v>0.43908000000000003</v>
      </c>
      <c r="D2" s="2">
        <v>0.71389999999999998</v>
      </c>
      <c r="E2" s="2">
        <v>0.66559000000000001</v>
      </c>
      <c r="F2" s="2">
        <v>0.63500000000000001</v>
      </c>
      <c r="G2" s="2">
        <v>0.43103000000000002</v>
      </c>
      <c r="H2" s="2">
        <v>0.33440999999999999</v>
      </c>
      <c r="I2" s="2">
        <v>0.19270000000000001</v>
      </c>
      <c r="J2" s="2">
        <v>0.16209999999999999</v>
      </c>
      <c r="K2" s="2">
        <v>0.57220000000000004</v>
      </c>
      <c r="L2" s="2">
        <v>0.28824</v>
      </c>
    </row>
    <row r="3" spans="1:12" x14ac:dyDescent="0.25">
      <c r="A3" s="2">
        <v>0.77241000000000004</v>
      </c>
      <c r="B3" s="2">
        <v>0.63339000000000001</v>
      </c>
      <c r="C3" s="2">
        <v>0.62856000000000001</v>
      </c>
      <c r="D3" s="2">
        <v>0.77025999999999994</v>
      </c>
      <c r="E3" s="2">
        <v>0.5</v>
      </c>
      <c r="F3" s="2">
        <v>0.53944999999999999</v>
      </c>
      <c r="G3" s="2">
        <v>0.62909000000000004</v>
      </c>
      <c r="H3" s="2">
        <v>0.36286000000000002</v>
      </c>
      <c r="I3" s="2">
        <v>0.5</v>
      </c>
      <c r="J3" s="2">
        <v>0.77241000000000004</v>
      </c>
      <c r="K3" s="2">
        <v>0.5</v>
      </c>
      <c r="L3" s="2">
        <v>0.37519999999999998</v>
      </c>
    </row>
    <row r="4" spans="1:12" x14ac:dyDescent="0.25">
      <c r="A4" s="2">
        <v>0.45572000000000001</v>
      </c>
      <c r="B4" s="2">
        <v>0.58560999999999996</v>
      </c>
      <c r="C4" s="2">
        <v>0.56574999999999998</v>
      </c>
      <c r="D4" s="2">
        <v>0.5</v>
      </c>
      <c r="E4" s="2">
        <v>0.44175999999999999</v>
      </c>
      <c r="F4" s="2">
        <v>0.60385999999999995</v>
      </c>
      <c r="G4" s="2">
        <v>0.51905999999999997</v>
      </c>
      <c r="H4" s="2">
        <v>0.5</v>
      </c>
      <c r="I4" s="2">
        <v>0.54803999999999997</v>
      </c>
      <c r="J4" s="2">
        <v>0.5</v>
      </c>
      <c r="K4" s="2">
        <v>0.56467999999999996</v>
      </c>
      <c r="L4" s="2">
        <v>0.61943000000000004</v>
      </c>
    </row>
    <row r="5" spans="1:12" x14ac:dyDescent="0.25">
      <c r="A5" s="2">
        <v>0.43961</v>
      </c>
      <c r="B5" s="2">
        <v>0.63553000000000004</v>
      </c>
      <c r="C5" s="2">
        <v>0.63929000000000002</v>
      </c>
      <c r="D5" s="2">
        <v>0.58347000000000004</v>
      </c>
      <c r="E5" s="2">
        <v>0.65915000000000001</v>
      </c>
      <c r="F5" s="2">
        <v>0.5</v>
      </c>
      <c r="G5" s="2">
        <v>0.60494000000000003</v>
      </c>
      <c r="H5" s="2">
        <v>0.76221000000000005</v>
      </c>
      <c r="I5" s="2">
        <v>0.75953000000000004</v>
      </c>
      <c r="J5" s="2">
        <v>0.61567000000000005</v>
      </c>
      <c r="K5" s="2">
        <v>0.38433</v>
      </c>
      <c r="L5" s="2">
        <v>0.39667000000000002</v>
      </c>
    </row>
    <row r="6" spans="1:12" x14ac:dyDescent="0.25">
      <c r="A6" s="2">
        <v>0.5</v>
      </c>
      <c r="B6" s="2">
        <v>0.375</v>
      </c>
      <c r="C6" s="2">
        <v>0.64842</v>
      </c>
      <c r="D6" s="2">
        <v>0.5</v>
      </c>
      <c r="E6" s="2">
        <v>0.5</v>
      </c>
      <c r="F6" s="2">
        <v>0.76597000000000004</v>
      </c>
      <c r="G6" s="2">
        <v>0.5</v>
      </c>
      <c r="H6" s="2">
        <v>0.5</v>
      </c>
      <c r="I6" s="2">
        <v>0.5</v>
      </c>
      <c r="J6" s="2">
        <v>0.5</v>
      </c>
      <c r="K6" s="2">
        <v>0.5</v>
      </c>
      <c r="L6" s="2">
        <v>0.64036000000000004</v>
      </c>
    </row>
    <row r="7" spans="1:12" x14ac:dyDescent="0.25">
      <c r="A7" s="2">
        <v>0.64466000000000001</v>
      </c>
      <c r="B7" s="2">
        <v>0.77134000000000003</v>
      </c>
      <c r="C7" s="2">
        <v>0.23402999999999999</v>
      </c>
      <c r="D7" s="2">
        <v>0.37735000000000002</v>
      </c>
      <c r="E7" s="2">
        <v>0.64036000000000004</v>
      </c>
      <c r="F7" s="2">
        <v>0.37896000000000002</v>
      </c>
      <c r="G7" s="2">
        <v>0.84540999999999999</v>
      </c>
      <c r="H7" s="2">
        <v>0.63446000000000002</v>
      </c>
      <c r="I7" s="2">
        <v>0.37197999999999998</v>
      </c>
      <c r="J7" s="2">
        <v>0.63661000000000001</v>
      </c>
      <c r="K7" s="2">
        <v>0.64144000000000001</v>
      </c>
      <c r="L7" s="2">
        <v>0.37358999999999998</v>
      </c>
    </row>
    <row r="8" spans="1:12" x14ac:dyDescent="0.25">
      <c r="A8" s="2">
        <v>0.43692999999999999</v>
      </c>
      <c r="B8" s="2">
        <v>0.36392999999999998</v>
      </c>
      <c r="C8" s="2">
        <v>0.74826000000000004</v>
      </c>
      <c r="D8" s="2">
        <v>0.66237000000000001</v>
      </c>
      <c r="E8" s="2">
        <v>0.36608000000000002</v>
      </c>
      <c r="F8" s="2">
        <v>0.5</v>
      </c>
      <c r="G8" s="2">
        <v>0.5</v>
      </c>
      <c r="H8" s="2">
        <v>0.16048999999999999</v>
      </c>
      <c r="I8" s="2">
        <v>0.24315999999999999</v>
      </c>
      <c r="J8" s="2">
        <v>0.36821999999999999</v>
      </c>
      <c r="K8" s="2">
        <v>0.22652</v>
      </c>
      <c r="L8" s="2">
        <v>0.63231000000000004</v>
      </c>
    </row>
    <row r="9" spans="1:12" x14ac:dyDescent="0.25">
      <c r="A9" s="2">
        <v>0.36338999999999999</v>
      </c>
      <c r="B9" s="2">
        <v>0.43425000000000002</v>
      </c>
      <c r="C9" s="2">
        <v>0.5</v>
      </c>
      <c r="D9" s="2">
        <v>0.33977000000000002</v>
      </c>
      <c r="E9" s="2">
        <v>0.43908000000000003</v>
      </c>
      <c r="F9" s="2">
        <v>0.5</v>
      </c>
      <c r="G9" s="2">
        <v>0.5</v>
      </c>
      <c r="H9" s="2">
        <v>0.5</v>
      </c>
      <c r="I9" s="2">
        <v>0.60385999999999995</v>
      </c>
      <c r="J9" s="2">
        <v>0.5</v>
      </c>
      <c r="K9" s="2">
        <v>0.5</v>
      </c>
      <c r="L9" s="2">
        <v>0.57381000000000004</v>
      </c>
    </row>
    <row r="10" spans="1:12" x14ac:dyDescent="0.25">
      <c r="A10" s="2">
        <v>0.5</v>
      </c>
      <c r="B10" s="2">
        <v>0.5</v>
      </c>
      <c r="C10" s="2">
        <v>0.64734000000000003</v>
      </c>
      <c r="D10" s="2">
        <v>0.5</v>
      </c>
      <c r="E10" s="2">
        <v>0.5</v>
      </c>
      <c r="F10" s="2">
        <v>0.24906</v>
      </c>
      <c r="G10" s="2">
        <v>0.39290999999999998</v>
      </c>
      <c r="H10" s="2">
        <v>0.43639</v>
      </c>
      <c r="I10" s="2">
        <v>0.51690999999999998</v>
      </c>
      <c r="J10" s="2">
        <v>0.5</v>
      </c>
      <c r="K10" s="2">
        <v>0.5</v>
      </c>
      <c r="L10" s="2">
        <v>0.5</v>
      </c>
    </row>
    <row r="11" spans="1:12" x14ac:dyDescent="0.25">
      <c r="A11" s="2">
        <v>0.2351</v>
      </c>
      <c r="B11" s="2">
        <v>5.9581000000000002E-2</v>
      </c>
      <c r="C11" s="2">
        <v>6.9242999999999999E-2</v>
      </c>
      <c r="D11" s="2">
        <v>0.11702</v>
      </c>
      <c r="E11" s="2">
        <v>0.5</v>
      </c>
      <c r="F11" s="2">
        <v>0.11379</v>
      </c>
      <c r="G11" s="2">
        <v>9.0714000000000003E-2</v>
      </c>
      <c r="H11" s="2">
        <v>0.64573000000000003</v>
      </c>
      <c r="I11" s="2">
        <v>0.70530999999999999</v>
      </c>
      <c r="J11" s="2">
        <v>0.29952000000000001</v>
      </c>
      <c r="K11" s="2">
        <v>0.30220000000000002</v>
      </c>
      <c r="L11" s="2">
        <v>0.14815</v>
      </c>
    </row>
    <row r="12" spans="1:12" x14ac:dyDescent="0.25">
      <c r="A12" s="2">
        <v>0.5</v>
      </c>
      <c r="B12" s="2">
        <v>0.64144000000000001</v>
      </c>
      <c r="C12" s="2">
        <v>0.22919999999999999</v>
      </c>
      <c r="D12" s="2">
        <v>0.5</v>
      </c>
      <c r="E12" s="2">
        <v>0.5</v>
      </c>
      <c r="F12" s="2">
        <v>0.12131</v>
      </c>
      <c r="G12" s="2">
        <v>0.5</v>
      </c>
      <c r="H12" s="2">
        <v>0.64788000000000001</v>
      </c>
      <c r="I12" s="2">
        <v>0.11057</v>
      </c>
      <c r="J12" s="2">
        <v>0.5</v>
      </c>
      <c r="K12" s="2">
        <v>0.5</v>
      </c>
      <c r="L12" s="2">
        <v>0.24368999999999999</v>
      </c>
    </row>
    <row r="13" spans="1:12" x14ac:dyDescent="0.25">
      <c r="A13" s="2">
        <v>0.41760999999999998</v>
      </c>
      <c r="B13" s="2">
        <v>0.48792000000000002</v>
      </c>
      <c r="C13" s="2">
        <v>0.55125999999999997</v>
      </c>
      <c r="D13" s="2">
        <v>0.10574</v>
      </c>
      <c r="E13" s="2">
        <v>0.32796999999999998</v>
      </c>
      <c r="F13" s="2">
        <v>0.40579999999999999</v>
      </c>
      <c r="G13" s="2">
        <v>0.57703000000000004</v>
      </c>
      <c r="H13" s="2">
        <v>0.46592</v>
      </c>
      <c r="I13" s="2">
        <v>0.58721999999999996</v>
      </c>
      <c r="J13" s="2">
        <v>0.60063999999999995</v>
      </c>
      <c r="K13" s="2">
        <v>0.45624999999999999</v>
      </c>
      <c r="L13" s="2">
        <v>0.5</v>
      </c>
    </row>
    <row r="14" spans="1:12" x14ac:dyDescent="0.25">
      <c r="A14" s="2">
        <v>0.60923000000000005</v>
      </c>
      <c r="B14" s="2">
        <v>0.50670999999999999</v>
      </c>
      <c r="C14" s="2">
        <v>0.55984999999999996</v>
      </c>
      <c r="D14" s="2">
        <v>0.61943000000000004</v>
      </c>
      <c r="E14" s="2">
        <v>0.40794000000000002</v>
      </c>
      <c r="F14" s="2">
        <v>0.5</v>
      </c>
      <c r="G14" s="2">
        <v>0.56521999999999994</v>
      </c>
      <c r="H14" s="2">
        <v>0.55179999999999996</v>
      </c>
      <c r="I14" s="2">
        <v>0.44605</v>
      </c>
      <c r="J14" s="2">
        <v>0.57272999999999996</v>
      </c>
      <c r="K14" s="2">
        <v>0.40150000000000002</v>
      </c>
      <c r="L14" s="2">
        <v>0.39613999999999999</v>
      </c>
    </row>
    <row r="15" spans="1:12" x14ac:dyDescent="0.25">
      <c r="A15" s="2">
        <v>0.5</v>
      </c>
      <c r="B15" s="2">
        <v>0.39452999999999999</v>
      </c>
      <c r="C15" s="2">
        <v>0.51207999999999998</v>
      </c>
      <c r="D15" s="2">
        <v>0.63929000000000002</v>
      </c>
      <c r="E15" s="2">
        <v>0.37841999999999998</v>
      </c>
      <c r="F15" s="2">
        <v>0.39452999999999999</v>
      </c>
      <c r="G15" s="2">
        <v>0.62856000000000001</v>
      </c>
      <c r="H15" s="2">
        <v>0.36930000000000002</v>
      </c>
      <c r="I15" s="2">
        <v>0.37465999999999999</v>
      </c>
      <c r="J15" s="2">
        <v>0.438</v>
      </c>
      <c r="K15" s="2">
        <v>0.58077999999999996</v>
      </c>
      <c r="L15" s="2">
        <v>0.63822000000000001</v>
      </c>
    </row>
    <row r="16" spans="1:12" x14ac:dyDescent="0.25">
      <c r="A16" s="2">
        <v>0.72343999999999997</v>
      </c>
      <c r="B16" s="2">
        <v>0.14607000000000001</v>
      </c>
      <c r="C16" s="2">
        <v>0.38279000000000002</v>
      </c>
      <c r="D16" s="2">
        <v>0.50404000000000004</v>
      </c>
      <c r="E16" s="2">
        <v>0.38048999999999999</v>
      </c>
      <c r="F16" s="2">
        <v>0.50173000000000001</v>
      </c>
      <c r="G16" s="2">
        <v>0.12182</v>
      </c>
      <c r="H16" s="2">
        <v>0.35276999999999997</v>
      </c>
      <c r="I16" s="2">
        <v>0.63971999999999996</v>
      </c>
      <c r="J16" s="2">
        <v>0.5</v>
      </c>
      <c r="K16" s="2">
        <v>0.70035000000000003</v>
      </c>
      <c r="L16" s="2">
        <v>0.5</v>
      </c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>
        <f>AVERAGE(A2:A5,A7:A9,A11,A13:A14,A16)</f>
        <v>0.51387090909090916</v>
      </c>
      <c r="B18" s="2">
        <f>AVERAGE(B2:B9,B11:B16)</f>
        <v>0.48043721428571423</v>
      </c>
      <c r="C18" s="2">
        <f>AVERAGE(C2:C8,C10:C16)</f>
        <v>0.48965378571428575</v>
      </c>
      <c r="D18" s="2">
        <f>AVERAGE(D2:D3,D5,D7:D9,D11,D13:D16)</f>
        <v>0.49387636363636367</v>
      </c>
      <c r="E18" s="2">
        <f>AVERAGE(E2,E4:E5,E7:E9,E13:E16)</f>
        <v>0.47068400000000005</v>
      </c>
      <c r="F18" s="2">
        <f>AVERAGE(F2:F4,F6:F7,F10:F13,F15:F16)</f>
        <v>0.42813272727272728</v>
      </c>
      <c r="G18" s="2">
        <f>AVERAGE(G2:G5,G7,G10,G11,G13:G16)</f>
        <v>0.49143490909090914</v>
      </c>
      <c r="H18" s="2">
        <f>AVERAGE(H2:H3,H5,H7:H8,H10:H16)</f>
        <v>0.47701833333333327</v>
      </c>
      <c r="I18" s="2">
        <f>AVERAGE(I2,I4:I5,I7:I16)</f>
        <v>0.46920846153846146</v>
      </c>
      <c r="J18" s="2">
        <f>AVERAGE(J2:J3,J5,J7:J8,J11,J13:J15)</f>
        <v>0.49621111111111116</v>
      </c>
      <c r="K18" s="2">
        <f>AVERAGE(K2,K4:K5,K7:K8,K11,K13:K16)</f>
        <v>0.48302500000000004</v>
      </c>
      <c r="L18" s="2">
        <f>AVERAGE(L2:L9,L11:L12,L14:L15)</f>
        <v>0.44381750000000003</v>
      </c>
    </row>
    <row r="19" spans="1:12" x14ac:dyDescent="0.25">
      <c r="A19" s="2">
        <f>VAR(A2:A5,A7:A9,A11,A13:A14,A16)</f>
        <v>2.6304990689090913E-2</v>
      </c>
      <c r="B19" s="2">
        <f>VAR(B2:B5,B7,B6,B8:B9,B11:B16)</f>
        <v>4.132221305941218E-2</v>
      </c>
      <c r="C19" s="2">
        <f>VAR(C2:C8,C10:C16)</f>
        <v>3.8273358665258231E-2</v>
      </c>
      <c r="D19" s="2">
        <f>VAR(D2:D3,D5,D7:D9,D11,D13:D16)</f>
        <v>5.282253012545457E-2</v>
      </c>
      <c r="E19" s="2">
        <f>VAR(E2,E4:E5,E7:E9,E13:E16)</f>
        <v>1.7336314782222157E-2</v>
      </c>
      <c r="F19" s="2">
        <f>VAR(F2:F4,F6:F7,F10:F13,F15:F16)</f>
        <v>4.3468068841818176E-2</v>
      </c>
      <c r="G19" s="2">
        <f>VAR(G2:G5,G7,G10:G11,G13:G16)</f>
        <v>5.0001622889090845E-2</v>
      </c>
      <c r="H19" s="2">
        <f>VAR(H2:H3,H5,H7:H8,H10:H16)</f>
        <v>3.015872437878795E-2</v>
      </c>
      <c r="I19" s="2">
        <f>VAR(I2,I4:I5,I7:I16)</f>
        <v>4.0396483930769257E-2</v>
      </c>
      <c r="J19" s="2">
        <f>VAR(J2:J3,J5,J7:J8,J11,J13:J15)</f>
        <v>3.7139564911111089E-2</v>
      </c>
      <c r="K19" s="2">
        <f>VAR(K2,K4:K5,K7:K8,K11,K13:K16)</f>
        <v>2.3566405827777706E-2</v>
      </c>
      <c r="L19" s="2">
        <f>VAR(L2:L9,L11:L12,L14:L15)</f>
        <v>2.9590858929545452E-2</v>
      </c>
    </row>
    <row r="21" spans="1:12" x14ac:dyDescent="0.25">
      <c r="A21" s="3" t="s">
        <v>12</v>
      </c>
      <c r="D21" s="3" t="s">
        <v>12</v>
      </c>
      <c r="G21" s="3" t="s">
        <v>12</v>
      </c>
      <c r="J21" s="3" t="s">
        <v>12</v>
      </c>
    </row>
    <row r="22" spans="1:12" x14ac:dyDescent="0.25">
      <c r="A22">
        <f>AVERAGE(A2:A16)</f>
        <v>0.51017200000000007</v>
      </c>
      <c r="B22">
        <f>AVERAGE(B2:B16)</f>
        <v>0.48174139999999993</v>
      </c>
      <c r="C22">
        <f t="shared" ref="C22:L22" si="0">AVERAGE(C2:C16)</f>
        <v>0.4903435333333333</v>
      </c>
      <c r="D22">
        <f t="shared" si="0"/>
        <v>0.4955093333333333</v>
      </c>
      <c r="E22">
        <f t="shared" si="0"/>
        <v>0.48045599999999999</v>
      </c>
      <c r="F22">
        <f t="shared" si="0"/>
        <v>0.44729733333333332</v>
      </c>
      <c r="G22">
        <f t="shared" si="0"/>
        <v>0.49371893333333333</v>
      </c>
      <c r="H22">
        <f t="shared" si="0"/>
        <v>0.48161466666666658</v>
      </c>
      <c r="I22">
        <f t="shared" si="0"/>
        <v>0.47331399999999996</v>
      </c>
      <c r="J22">
        <f t="shared" si="0"/>
        <v>0.49772666666666671</v>
      </c>
      <c r="K22">
        <f t="shared" si="0"/>
        <v>0.48868333333333336</v>
      </c>
      <c r="L22">
        <f t="shared" si="0"/>
        <v>0.45505400000000001</v>
      </c>
    </row>
    <row r="23" spans="1:12" x14ac:dyDescent="0.25">
      <c r="A23" t="s">
        <v>13</v>
      </c>
    </row>
    <row r="24" spans="1:12" x14ac:dyDescent="0.25">
      <c r="A24" t="s">
        <v>14</v>
      </c>
      <c r="B24" t="s">
        <v>15</v>
      </c>
      <c r="C24" t="s">
        <v>16</v>
      </c>
      <c r="D24" t="s">
        <v>17</v>
      </c>
    </row>
    <row r="25" spans="1:12" x14ac:dyDescent="0.25">
      <c r="A25">
        <f>AVERAGE(A22:C22)</f>
        <v>0.49408564444444442</v>
      </c>
      <c r="B25">
        <f>AVERAGE(D22:F22)</f>
        <v>0.47442088888888884</v>
      </c>
      <c r="C25">
        <f>AVERAGE(G22:I22)</f>
        <v>0.48288253333333331</v>
      </c>
      <c r="D25">
        <f>AVERAGE(J22:L22)</f>
        <v>0.48048800000000003</v>
      </c>
    </row>
    <row r="28" spans="1:12" x14ac:dyDescent="0.25">
      <c r="A28" s="3" t="s">
        <v>12</v>
      </c>
    </row>
    <row r="29" spans="1:12" x14ac:dyDescent="0.25">
      <c r="A29">
        <f t="shared" ref="A29:A43" si="1">AVERAGE(A2:C2)</f>
        <v>0.56145999999999996</v>
      </c>
      <c r="B29">
        <f t="shared" ref="B29:B43" si="2">AVERAGE(D2:F2)</f>
        <v>0.67149666666666674</v>
      </c>
      <c r="C29">
        <f t="shared" ref="C29:C43" si="3">AVERAGE(G2:I2)</f>
        <v>0.31938</v>
      </c>
      <c r="D29">
        <f t="shared" ref="D29:D43" si="4">AVERAGE(J2:L2)</f>
        <v>0.34084666666666669</v>
      </c>
      <c r="G29" s="4" t="s">
        <v>18</v>
      </c>
      <c r="H29" t="s">
        <v>14</v>
      </c>
      <c r="I29" t="s">
        <v>15</v>
      </c>
      <c r="J29" t="s">
        <v>16</v>
      </c>
      <c r="K29" t="s">
        <v>17</v>
      </c>
    </row>
    <row r="30" spans="1:12" x14ac:dyDescent="0.25">
      <c r="A30">
        <f t="shared" si="1"/>
        <v>0.67812000000000017</v>
      </c>
      <c r="B30">
        <f t="shared" si="2"/>
        <v>0.60323666666666664</v>
      </c>
      <c r="C30">
        <f t="shared" si="3"/>
        <v>0.49731666666666668</v>
      </c>
      <c r="D30">
        <f t="shared" si="4"/>
        <v>0.54920333333333338</v>
      </c>
      <c r="G30" t="s">
        <v>13</v>
      </c>
      <c r="H30">
        <f>AVERAGE(A18:C18)</f>
        <v>0.49465396969696968</v>
      </c>
      <c r="I30">
        <f>AVERAGE(D18:F18)</f>
        <v>0.46423103030303037</v>
      </c>
      <c r="J30">
        <f>AVERAGE(G18:I18)</f>
        <v>0.47922056798756801</v>
      </c>
      <c r="K30">
        <f>AVERAGE(J18:L18)</f>
        <v>0.47435120370370371</v>
      </c>
    </row>
    <row r="31" spans="1:12" x14ac:dyDescent="0.25">
      <c r="A31">
        <f t="shared" si="1"/>
        <v>0.53569333333333324</v>
      </c>
      <c r="B31">
        <f t="shared" si="2"/>
        <v>0.5152066666666667</v>
      </c>
      <c r="C31">
        <f t="shared" si="3"/>
        <v>0.52236666666666665</v>
      </c>
      <c r="D31">
        <f t="shared" si="4"/>
        <v>0.56137000000000004</v>
      </c>
      <c r="G31" t="s">
        <v>19</v>
      </c>
      <c r="H31">
        <f>AVERAGE(A19:C19)</f>
        <v>3.5300187471253776E-2</v>
      </c>
      <c r="I31">
        <f>AVERAGE(D19:F19)</f>
        <v>3.7875637916498305E-2</v>
      </c>
      <c r="J31">
        <f>AVERAGE(G19:I19)</f>
        <v>4.0185610399549349E-2</v>
      </c>
      <c r="K31">
        <f>AVERAGE(J19:L19)</f>
        <v>3.0098943222811415E-2</v>
      </c>
    </row>
    <row r="32" spans="1:12" x14ac:dyDescent="0.25">
      <c r="A32">
        <f t="shared" si="1"/>
        <v>0.57147666666666674</v>
      </c>
      <c r="B32">
        <f t="shared" si="2"/>
        <v>0.58087333333333335</v>
      </c>
      <c r="C32">
        <f t="shared" si="3"/>
        <v>0.70889333333333349</v>
      </c>
      <c r="D32">
        <f t="shared" si="4"/>
        <v>0.46555666666666667</v>
      </c>
      <c r="G32" t="s">
        <v>20</v>
      </c>
      <c r="H32">
        <f>COUNT(A2:C5,B6:C6,A7:C8,A9,B9,C10,A11:C11,B12:C12,A13:C14,B15:C15,A16:C16)</f>
        <v>39</v>
      </c>
      <c r="I32">
        <f>COUNTA(D2:F2,D3,F3:F4,E4,D5:E5,F6:F7,D7:E9,F10:F12,D11,D13:E16,F13,F15:F16,D18:F19)</f>
        <v>38</v>
      </c>
      <c r="J32">
        <f>COUNTA(G2:I2,G3:H3,G4,I4:I5,G5:H5,G7:I7,H8:I8,I9:I16,H10:H16,G13:G16,G10:G11)</f>
        <v>36</v>
      </c>
      <c r="K32">
        <f>COUNTA(J2:L2,J3,L3:L5,K4:K5,J5,L6:L8,J7:K8,L9,J11:L11,L12,J13:K15,L14:L15,K16)</f>
        <v>31</v>
      </c>
    </row>
    <row r="33" spans="1:11" x14ac:dyDescent="0.25">
      <c r="A33">
        <f t="shared" si="1"/>
        <v>0.50780666666666663</v>
      </c>
      <c r="B33">
        <f t="shared" si="2"/>
        <v>0.58865666666666672</v>
      </c>
      <c r="C33">
        <f t="shared" si="3"/>
        <v>0.5</v>
      </c>
      <c r="D33">
        <f t="shared" si="4"/>
        <v>0.54678666666666664</v>
      </c>
      <c r="G33" t="s">
        <v>21</v>
      </c>
      <c r="H33">
        <v>0.05</v>
      </c>
      <c r="I33">
        <v>0.05</v>
      </c>
      <c r="J33">
        <v>0.05</v>
      </c>
      <c r="K33">
        <v>0.05</v>
      </c>
    </row>
    <row r="34" spans="1:11" x14ac:dyDescent="0.25">
      <c r="A34">
        <f t="shared" si="1"/>
        <v>0.55001</v>
      </c>
      <c r="B34">
        <f t="shared" si="2"/>
        <v>0.46555666666666667</v>
      </c>
      <c r="C34">
        <f t="shared" si="3"/>
        <v>0.6172833333333333</v>
      </c>
      <c r="D34">
        <f t="shared" si="4"/>
        <v>0.55054666666666663</v>
      </c>
      <c r="G34" t="s">
        <v>22</v>
      </c>
      <c r="H34">
        <f>CONFIDENCE(H33,H35,H32)</f>
        <v>5.8159511942034434E-2</v>
      </c>
      <c r="I34">
        <f t="shared" ref="I34:K34" si="5">CONFIDENCE(I33,I35,I32)</f>
        <v>6.106113758655568E-2</v>
      </c>
      <c r="J34">
        <f t="shared" si="5"/>
        <v>6.3426237710055816E-2</v>
      </c>
      <c r="K34">
        <f t="shared" si="5"/>
        <v>5.9279309025898244E-2</v>
      </c>
    </row>
    <row r="35" spans="1:11" x14ac:dyDescent="0.25">
      <c r="A35">
        <f t="shared" si="1"/>
        <v>0.51637333333333324</v>
      </c>
      <c r="B35">
        <f t="shared" si="2"/>
        <v>0.5094833333333334</v>
      </c>
      <c r="C35">
        <f t="shared" si="3"/>
        <v>0.30121666666666669</v>
      </c>
      <c r="D35">
        <f t="shared" si="4"/>
        <v>0.40901666666666675</v>
      </c>
      <c r="G35" t="s">
        <v>23</v>
      </c>
      <c r="H35">
        <f>STDEV(A2:C5,B6:C6,A7:C8,A9,B9,C10,A11:C11,B12:C12,A13:C14,B15:C15,A16:C16)</f>
        <v>0.18531260703296376</v>
      </c>
      <c r="I35">
        <f>STDEV(D2:F2,D3,F3:F4,E4,D5:E5,F6:F7,D7:E9,F10:F12,D11,D13:E16,F13,F15:F16,D1)</f>
        <v>0.19204747359891444</v>
      </c>
      <c r="J35">
        <f>STDEV(G2:I2,G3:H3,G4,I4:I5,G5:H5,G7:I7,H8:I8,I9:I16,H10:H16,G13:G16,G10:G11)</f>
        <v>0.19416552001063458</v>
      </c>
      <c r="K35">
        <f>STDEV(J2:L2,J3,L3:L5,K4:K5,J5,L6:L8,J7:K8,L9,J11:L11,L12,J13:K15,L14:L15,K16)</f>
        <v>0.16839759651248803</v>
      </c>
    </row>
    <row r="36" spans="1:11" x14ac:dyDescent="0.25">
      <c r="A36">
        <f t="shared" si="1"/>
        <v>0.43254666666666663</v>
      </c>
      <c r="B36">
        <f t="shared" si="2"/>
        <v>0.42628333333333335</v>
      </c>
      <c r="C36">
        <f t="shared" si="3"/>
        <v>0.53461999999999998</v>
      </c>
      <c r="D36">
        <f t="shared" si="4"/>
        <v>0.52460333333333331</v>
      </c>
    </row>
    <row r="37" spans="1:11" x14ac:dyDescent="0.25">
      <c r="A37">
        <f t="shared" si="1"/>
        <v>0.54911333333333334</v>
      </c>
      <c r="B37">
        <f t="shared" si="2"/>
        <v>0.41635333333333335</v>
      </c>
      <c r="C37">
        <f t="shared" si="3"/>
        <v>0.44873666666666662</v>
      </c>
      <c r="D37">
        <f t="shared" si="4"/>
        <v>0.5</v>
      </c>
    </row>
    <row r="38" spans="1:11" x14ac:dyDescent="0.25">
      <c r="A38">
        <f t="shared" si="1"/>
        <v>0.12130800000000001</v>
      </c>
      <c r="B38">
        <f t="shared" si="2"/>
        <v>0.24360333333333331</v>
      </c>
      <c r="C38">
        <f t="shared" si="3"/>
        <v>0.48058466666666666</v>
      </c>
      <c r="D38">
        <f t="shared" si="4"/>
        <v>0.24995666666666669</v>
      </c>
    </row>
    <row r="39" spans="1:11" x14ac:dyDescent="0.25">
      <c r="A39">
        <f t="shared" si="1"/>
        <v>0.45688000000000001</v>
      </c>
      <c r="B39">
        <f t="shared" si="2"/>
        <v>0.37376999999999999</v>
      </c>
      <c r="C39">
        <f t="shared" si="3"/>
        <v>0.41948333333333337</v>
      </c>
      <c r="D39">
        <f t="shared" si="4"/>
        <v>0.41456333333333334</v>
      </c>
    </row>
    <row r="40" spans="1:11" x14ac:dyDescent="0.25">
      <c r="A40">
        <f t="shared" si="1"/>
        <v>0.48559666666666662</v>
      </c>
      <c r="B40">
        <f t="shared" si="2"/>
        <v>0.27983666666666668</v>
      </c>
      <c r="C40">
        <f t="shared" si="3"/>
        <v>0.54339000000000004</v>
      </c>
      <c r="D40">
        <f t="shared" si="4"/>
        <v>0.51896333333333333</v>
      </c>
    </row>
    <row r="41" spans="1:11" x14ac:dyDescent="0.25">
      <c r="A41">
        <f t="shared" si="1"/>
        <v>0.55859666666666674</v>
      </c>
      <c r="B41">
        <f t="shared" si="2"/>
        <v>0.50912333333333337</v>
      </c>
      <c r="C41">
        <f t="shared" si="3"/>
        <v>0.52102333333333328</v>
      </c>
      <c r="D41">
        <f t="shared" si="4"/>
        <v>0.45678999999999997</v>
      </c>
    </row>
    <row r="42" spans="1:11" x14ac:dyDescent="0.25">
      <c r="A42">
        <f t="shared" si="1"/>
        <v>0.46887000000000006</v>
      </c>
      <c r="B42">
        <f t="shared" si="2"/>
        <v>0.4707466666666667</v>
      </c>
      <c r="C42">
        <f t="shared" si="3"/>
        <v>0.45750666666666667</v>
      </c>
      <c r="D42">
        <f t="shared" si="4"/>
        <v>0.55233333333333334</v>
      </c>
    </row>
    <row r="43" spans="1:11" x14ac:dyDescent="0.25">
      <c r="A43">
        <f t="shared" si="1"/>
        <v>0.41743333333333332</v>
      </c>
      <c r="B43">
        <f t="shared" si="2"/>
        <v>0.4620866666666667</v>
      </c>
      <c r="C43">
        <f t="shared" si="3"/>
        <v>0.37143666666666664</v>
      </c>
      <c r="D43">
        <f t="shared" si="4"/>
        <v>0.56678333333333331</v>
      </c>
    </row>
    <row r="45" spans="1:11" x14ac:dyDescent="0.25">
      <c r="A45" t="s">
        <v>14</v>
      </c>
      <c r="B45" t="s">
        <v>15</v>
      </c>
      <c r="C45" t="s">
        <v>16</v>
      </c>
      <c r="D45" t="s">
        <v>17</v>
      </c>
    </row>
    <row r="46" spans="1:11" x14ac:dyDescent="0.25">
      <c r="A46">
        <f>AVERAGE(A29:A43)</f>
        <v>0.49408564444444447</v>
      </c>
      <c r="B46">
        <f t="shared" ref="B46:C46" si="6">AVERAGE(B29:B43)</f>
        <v>0.47442088888888895</v>
      </c>
      <c r="C46">
        <f t="shared" si="6"/>
        <v>0.48288253333333325</v>
      </c>
      <c r="D46">
        <f>AVERAGE(D29:D43)</f>
        <v>0.48048800000000003</v>
      </c>
      <c r="F46" t="s">
        <v>24</v>
      </c>
    </row>
    <row r="47" spans="1:11" x14ac:dyDescent="0.25">
      <c r="A47">
        <f>STDEV(A29:A43)</f>
        <v>0.12184554735385188</v>
      </c>
      <c r="B47">
        <f t="shared" ref="B47:D47" si="7">STDEV(B29:B43)</f>
        <v>0.11683781632909027</v>
      </c>
      <c r="C47">
        <f t="shared" si="7"/>
        <v>0.10589341180885949</v>
      </c>
      <c r="D47">
        <f t="shared" si="7"/>
        <v>9.2530475355548522E-2</v>
      </c>
      <c r="F47" t="s">
        <v>25</v>
      </c>
    </row>
    <row r="48" spans="1:11" x14ac:dyDescent="0.25">
      <c r="A48">
        <f>VAR(A29:A43)</f>
        <v>1.484633740995976E-2</v>
      </c>
      <c r="B48">
        <f t="shared" ref="B48:D48" si="8">VAR(B29:B43)</f>
        <v>1.3651075324550233E-2</v>
      </c>
      <c r="C48">
        <f t="shared" si="8"/>
        <v>1.1213414664520702E-2</v>
      </c>
      <c r="D48">
        <f t="shared" si="8"/>
        <v>8.5618888695237726E-3</v>
      </c>
      <c r="F48" t="s">
        <v>26</v>
      </c>
    </row>
    <row r="49" spans="1:6" x14ac:dyDescent="0.25">
      <c r="A49">
        <f>COUNTA(A29:A43)</f>
        <v>15</v>
      </c>
      <c r="B49">
        <f t="shared" ref="B49:D49" si="9">COUNTA(B29:B43)</f>
        <v>15</v>
      </c>
      <c r="C49">
        <f t="shared" si="9"/>
        <v>15</v>
      </c>
      <c r="D49">
        <f t="shared" si="9"/>
        <v>15</v>
      </c>
      <c r="F49" t="s">
        <v>20</v>
      </c>
    </row>
    <row r="50" spans="1:6" x14ac:dyDescent="0.25">
      <c r="A50">
        <v>0.05</v>
      </c>
      <c r="B50">
        <v>0.05</v>
      </c>
      <c r="C50">
        <v>0.05</v>
      </c>
      <c r="D50">
        <v>0.05</v>
      </c>
      <c r="F50" t="s">
        <v>21</v>
      </c>
    </row>
    <row r="51" spans="1:6" x14ac:dyDescent="0.25">
      <c r="A51">
        <f>CONFIDENCE(A50,A47,A49)</f>
        <v>6.1661221632665845E-2</v>
      </c>
      <c r="B51">
        <f t="shared" ref="B51:D51" si="10">CONFIDENCE(B50,B47,B49)</f>
        <v>5.9127006642454787E-2</v>
      </c>
      <c r="C51">
        <f t="shared" si="10"/>
        <v>5.3588475547841366E-2</v>
      </c>
      <c r="D51">
        <f t="shared" si="10"/>
        <v>4.6826020914042317E-2</v>
      </c>
      <c r="F51" t="s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B2D1-7F7B-4FF5-9428-A35FC951ECF4}">
  <dimension ref="A1:BH29"/>
  <sheetViews>
    <sheetView tabSelected="1" topLeftCell="A8" zoomScale="80" zoomScaleNormal="80" workbookViewId="0">
      <selection activeCell="I10" sqref="I10"/>
    </sheetView>
  </sheetViews>
  <sheetFormatPr defaultRowHeight="15" x14ac:dyDescent="0.25"/>
  <cols>
    <col min="1" max="1" width="14.140625" customWidth="1"/>
    <col min="2" max="2" width="10.28515625" customWidth="1"/>
    <col min="7" max="7" width="13.140625" customWidth="1"/>
    <col min="8" max="8" width="10.85546875" customWidth="1"/>
    <col min="12" max="12" width="11" customWidth="1"/>
    <col min="16" max="16" width="11" customWidth="1"/>
    <col min="19" max="20" width="11.140625" customWidth="1"/>
    <col min="21" max="21" width="11.28515625" customWidth="1"/>
    <col min="22" max="22" width="11.140625" customWidth="1"/>
    <col min="23" max="23" width="10.7109375" customWidth="1"/>
    <col min="24" max="24" width="11.140625" customWidth="1"/>
    <col min="26" max="26" width="11.85546875" customWidth="1"/>
    <col min="27" max="27" width="11.42578125" customWidth="1"/>
    <col min="29" max="29" width="11.42578125" customWidth="1"/>
    <col min="30" max="30" width="12" customWidth="1"/>
    <col min="32" max="32" width="11" customWidth="1"/>
    <col min="34" max="34" width="11.7109375" customWidth="1"/>
    <col min="35" max="35" width="11.140625" customWidth="1"/>
    <col min="36" max="37" width="11" customWidth="1"/>
    <col min="38" max="38" width="10.5703125" customWidth="1"/>
    <col min="39" max="40" width="10.7109375" customWidth="1"/>
    <col min="43" max="48" width="11.85546875" customWidth="1"/>
    <col min="49" max="49" width="12.85546875" customWidth="1"/>
    <col min="50" max="59" width="10.7109375" customWidth="1"/>
    <col min="60" max="60" width="10.140625" customWidth="1"/>
  </cols>
  <sheetData>
    <row r="1" spans="1:60" s="8" customFormat="1" x14ac:dyDescent="0.25">
      <c r="B1" s="8" t="s">
        <v>99</v>
      </c>
      <c r="C1" s="8" t="s">
        <v>156</v>
      </c>
      <c r="D1" s="8" t="s">
        <v>100</v>
      </c>
      <c r="E1" s="8" t="s">
        <v>101</v>
      </c>
      <c r="F1" s="8" t="s">
        <v>102</v>
      </c>
      <c r="G1" s="8" t="s">
        <v>108</v>
      </c>
      <c r="H1" s="8" t="s">
        <v>107</v>
      </c>
      <c r="I1" s="8" t="s">
        <v>105</v>
      </c>
      <c r="J1" s="8" t="s">
        <v>106</v>
      </c>
      <c r="K1" s="8" t="s">
        <v>103</v>
      </c>
      <c r="L1" s="8" t="s">
        <v>104</v>
      </c>
      <c r="M1" s="8" t="s">
        <v>109</v>
      </c>
      <c r="N1" s="8" t="s">
        <v>110</v>
      </c>
      <c r="O1" s="8" t="s">
        <v>111</v>
      </c>
      <c r="P1" s="8" t="s">
        <v>37</v>
      </c>
      <c r="Q1" s="8" t="s">
        <v>112</v>
      </c>
      <c r="R1" s="8" t="s">
        <v>113</v>
      </c>
      <c r="S1" s="8" t="s">
        <v>114</v>
      </c>
      <c r="T1" s="8" t="s">
        <v>115</v>
      </c>
      <c r="U1" s="8" t="s">
        <v>116</v>
      </c>
      <c r="V1" s="8" t="s">
        <v>117</v>
      </c>
      <c r="W1" s="8" t="s">
        <v>118</v>
      </c>
      <c r="X1" s="8" t="s">
        <v>119</v>
      </c>
      <c r="Y1" s="8" t="s">
        <v>120</v>
      </c>
      <c r="Z1" s="8" t="s">
        <v>121</v>
      </c>
      <c r="AA1" s="8" t="s">
        <v>122</v>
      </c>
      <c r="AB1" s="8" t="s">
        <v>123</v>
      </c>
      <c r="AC1" s="8" t="s">
        <v>124</v>
      </c>
      <c r="AD1" s="8" t="s">
        <v>125</v>
      </c>
      <c r="AE1" s="8" t="s">
        <v>126</v>
      </c>
      <c r="AF1" s="8" t="s">
        <v>127</v>
      </c>
      <c r="AG1" s="8" t="s">
        <v>128</v>
      </c>
      <c r="AH1" s="8" t="s">
        <v>129</v>
      </c>
      <c r="AI1" s="8" t="s">
        <v>130</v>
      </c>
      <c r="AJ1" s="8" t="s">
        <v>131</v>
      </c>
      <c r="AK1" s="8" t="s">
        <v>132</v>
      </c>
      <c r="AL1" s="8" t="s">
        <v>133</v>
      </c>
      <c r="AM1" s="8" t="s">
        <v>134</v>
      </c>
      <c r="AN1" s="8" t="s">
        <v>135</v>
      </c>
      <c r="AO1" s="8" t="s">
        <v>136</v>
      </c>
      <c r="AP1" s="8" t="s">
        <v>137</v>
      </c>
      <c r="AQ1" s="8" t="s">
        <v>138</v>
      </c>
      <c r="AR1" s="8" t="s">
        <v>139</v>
      </c>
      <c r="AS1" s="8" t="s">
        <v>140</v>
      </c>
      <c r="AT1" s="8" t="s">
        <v>141</v>
      </c>
      <c r="AU1" s="8" t="s">
        <v>142</v>
      </c>
      <c r="AV1" s="8" t="s">
        <v>143</v>
      </c>
      <c r="AW1" s="8" t="s">
        <v>144</v>
      </c>
      <c r="AX1" s="8" t="s">
        <v>145</v>
      </c>
      <c r="AY1" s="8" t="s">
        <v>146</v>
      </c>
      <c r="AZ1" s="8" t="s">
        <v>147</v>
      </c>
      <c r="BA1" s="8" t="s">
        <v>148</v>
      </c>
      <c r="BB1" s="8" t="s">
        <v>149</v>
      </c>
      <c r="BC1" s="8" t="s">
        <v>150</v>
      </c>
      <c r="BD1" s="8" t="s">
        <v>151</v>
      </c>
      <c r="BE1" s="8" t="s">
        <v>152</v>
      </c>
      <c r="BF1" s="8" t="s">
        <v>153</v>
      </c>
      <c r="BG1" s="8" t="s">
        <v>154</v>
      </c>
      <c r="BH1" s="8" t="s">
        <v>155</v>
      </c>
    </row>
    <row r="2" spans="1:60" s="8" customFormat="1" x14ac:dyDescent="0.25">
      <c r="AQ2" s="8" t="s">
        <v>163</v>
      </c>
      <c r="AR2" s="8" t="s">
        <v>162</v>
      </c>
      <c r="AS2" s="8" t="s">
        <v>161</v>
      </c>
      <c r="AT2" s="8" t="s">
        <v>160</v>
      </c>
      <c r="AU2" s="8" t="s">
        <v>164</v>
      </c>
      <c r="AV2" s="8" t="s">
        <v>165</v>
      </c>
      <c r="AX2" s="8" t="s">
        <v>167</v>
      </c>
      <c r="AY2" s="8" t="s">
        <v>169</v>
      </c>
      <c r="AZ2" s="8" t="s">
        <v>168</v>
      </c>
      <c r="BA2" s="8" t="s">
        <v>170</v>
      </c>
      <c r="BB2" s="8" t="s">
        <v>175</v>
      </c>
      <c r="BC2" s="8" t="s">
        <v>174</v>
      </c>
      <c r="BD2" s="8" t="s">
        <v>173</v>
      </c>
      <c r="BE2" s="8" t="s">
        <v>172</v>
      </c>
      <c r="BF2" s="8" t="s">
        <v>171</v>
      </c>
      <c r="BG2" s="8" t="s">
        <v>166</v>
      </c>
    </row>
    <row r="4" spans="1:60" x14ac:dyDescent="0.25">
      <c r="A4" s="13" t="s">
        <v>157</v>
      </c>
      <c r="B4" t="s">
        <v>98</v>
      </c>
    </row>
    <row r="5" spans="1:60" x14ac:dyDescent="0.25">
      <c r="A5" s="9" t="s">
        <v>33</v>
      </c>
      <c r="B5">
        <f>CORREL(B12:B15,B6:B9)</f>
        <v>-0.36380982054903988</v>
      </c>
      <c r="C5">
        <f>CORREL(C12:C15,C6:C9)</f>
        <v>-0.11254789361549057</v>
      </c>
      <c r="D5">
        <f t="shared" ref="D5:BH5" si="0">CORREL(D12:D15,D6:D9)</f>
        <v>0.35227046254275868</v>
      </c>
      <c r="E5">
        <f t="shared" si="0"/>
        <v>-0.27134769650152807</v>
      </c>
      <c r="F5">
        <f t="shared" si="0"/>
        <v>-0.27077924112292023</v>
      </c>
      <c r="G5">
        <f t="shared" si="0"/>
        <v>-0.5534220238966111</v>
      </c>
      <c r="H5">
        <f t="shared" si="0"/>
        <v>0.60702524271080127</v>
      </c>
      <c r="I5">
        <f t="shared" si="0"/>
        <v>-0.28532467626137981</v>
      </c>
      <c r="J5">
        <f t="shared" si="0"/>
        <v>-0.21139777448118768</v>
      </c>
      <c r="K5">
        <f t="shared" si="0"/>
        <v>-0.59166363996244808</v>
      </c>
      <c r="L5">
        <f t="shared" si="0"/>
        <v>-6.7568885942467603E-3</v>
      </c>
      <c r="M5">
        <f t="shared" si="0"/>
        <v>-9.614632920242619E-2</v>
      </c>
      <c r="N5">
        <f t="shared" si="0"/>
        <v>-0.16653125849294323</v>
      </c>
      <c r="O5">
        <f t="shared" si="0"/>
        <v>-0.11129965113691104</v>
      </c>
      <c r="P5">
        <f t="shared" si="0"/>
        <v>0.13357895198359893</v>
      </c>
      <c r="Q5">
        <f t="shared" si="0"/>
        <v>-7.4982613637828655E-2</v>
      </c>
      <c r="R5">
        <f t="shared" si="0"/>
        <v>5.4370751183647897E-2</v>
      </c>
      <c r="S5">
        <f t="shared" si="0"/>
        <v>-6.63437448313524E-2</v>
      </c>
      <c r="T5">
        <f t="shared" si="0"/>
        <v>-0.28383790367565243</v>
      </c>
      <c r="U5" s="4">
        <f t="shared" si="0"/>
        <v>-0.85894018496781332</v>
      </c>
      <c r="V5">
        <f t="shared" si="0"/>
        <v>5.5193196471322335E-2</v>
      </c>
      <c r="W5" s="4">
        <f t="shared" si="0"/>
        <v>0.83547759731963644</v>
      </c>
      <c r="X5">
        <f t="shared" si="0"/>
        <v>-0.25791513558705509</v>
      </c>
      <c r="Y5">
        <f t="shared" si="0"/>
        <v>0.50781809953008861</v>
      </c>
      <c r="Z5">
        <f t="shared" si="0"/>
        <v>-0.23758683587331883</v>
      </c>
      <c r="AA5" s="4">
        <f t="shared" si="0"/>
        <v>-0.67915475985394891</v>
      </c>
      <c r="AB5">
        <f t="shared" si="0"/>
        <v>0.40863339178793373</v>
      </c>
      <c r="AC5">
        <f t="shared" si="0"/>
        <v>-0.39240261212786687</v>
      </c>
      <c r="AD5">
        <f t="shared" si="0"/>
        <v>0.37871998516431715</v>
      </c>
      <c r="AE5">
        <f t="shared" si="0"/>
        <v>-0.61555468136413383</v>
      </c>
      <c r="AF5" s="4">
        <f t="shared" si="0"/>
        <v>-0.84424377077848034</v>
      </c>
      <c r="AG5">
        <f t="shared" si="0"/>
        <v>-0.18646656896681732</v>
      </c>
      <c r="AH5">
        <f t="shared" si="0"/>
        <v>-0.46199111696084122</v>
      </c>
      <c r="AI5" s="4">
        <f t="shared" si="0"/>
        <v>0.67770100674867195</v>
      </c>
      <c r="AJ5" s="4">
        <f t="shared" si="0"/>
        <v>-0.76896935582695647</v>
      </c>
      <c r="AK5">
        <f t="shared" si="0"/>
        <v>0.27794243010534075</v>
      </c>
      <c r="AL5">
        <f t="shared" si="0"/>
        <v>0.18896151854893156</v>
      </c>
      <c r="AM5" s="4">
        <f t="shared" si="0"/>
        <v>-0.94979985184377669</v>
      </c>
      <c r="AN5" s="4">
        <f t="shared" si="0"/>
        <v>-0.7890857631274355</v>
      </c>
      <c r="AO5">
        <f t="shared" si="0"/>
        <v>-0.21311793240852164</v>
      </c>
      <c r="AP5">
        <f t="shared" si="0"/>
        <v>0.10984428402342508</v>
      </c>
      <c r="AQ5" s="4">
        <f t="shared" si="0"/>
        <v>-0.99654804679589126</v>
      </c>
      <c r="AR5" s="4">
        <f t="shared" si="0"/>
        <v>0.79219528144978446</v>
      </c>
      <c r="AS5">
        <f t="shared" si="0"/>
        <v>6.9045575274587503E-2</v>
      </c>
      <c r="AT5">
        <f t="shared" si="0"/>
        <v>0.1980922468603768</v>
      </c>
      <c r="AU5">
        <f t="shared" si="0"/>
        <v>-0.16350975495878156</v>
      </c>
      <c r="AV5">
        <f t="shared" si="0"/>
        <v>0.41351475979396896</v>
      </c>
      <c r="AW5">
        <f t="shared" si="0"/>
        <v>0.63354479658217266</v>
      </c>
      <c r="AX5" s="4">
        <f t="shared" si="0"/>
        <v>0.71615558636810872</v>
      </c>
      <c r="AY5" s="4">
        <f t="shared" si="0"/>
        <v>0.74174239241609496</v>
      </c>
      <c r="AZ5" s="4">
        <f t="shared" si="0"/>
        <v>-0.81148376243172393</v>
      </c>
      <c r="BA5">
        <f t="shared" si="0"/>
        <v>-0.10014562012264473</v>
      </c>
      <c r="BB5" s="4">
        <f t="shared" si="0"/>
        <v>-0.78920980009467578</v>
      </c>
      <c r="BC5">
        <f t="shared" si="0"/>
        <v>-0.56454055132423087</v>
      </c>
      <c r="BD5">
        <f t="shared" si="0"/>
        <v>0.19464997444976398</v>
      </c>
      <c r="BE5">
        <f t="shared" si="0"/>
        <v>0.12260408295739784</v>
      </c>
      <c r="BF5" s="4">
        <f t="shared" si="0"/>
        <v>-0.94770130891246995</v>
      </c>
      <c r="BG5" s="4">
        <f t="shared" si="0"/>
        <v>0.82224805210944041</v>
      </c>
      <c r="BH5" s="4">
        <f t="shared" si="0"/>
        <v>-0.72397059947389397</v>
      </c>
    </row>
    <row r="6" spans="1:60" x14ac:dyDescent="0.25">
      <c r="A6" s="5" t="s">
        <v>30</v>
      </c>
      <c r="B6" s="2">
        <v>0.60635219405594398</v>
      </c>
      <c r="C6">
        <v>0.60635219405594398</v>
      </c>
      <c r="D6">
        <v>0.60635219405594398</v>
      </c>
      <c r="E6">
        <v>0.60635219405594398</v>
      </c>
      <c r="F6">
        <v>0.60635219405594398</v>
      </c>
      <c r="G6">
        <v>0.60635219405594398</v>
      </c>
      <c r="H6">
        <v>0.60635219405594398</v>
      </c>
      <c r="I6">
        <v>0.60635219405594398</v>
      </c>
      <c r="J6">
        <v>0.60635219405594398</v>
      </c>
      <c r="K6">
        <v>0.60635219405594398</v>
      </c>
      <c r="L6">
        <v>0.60635219405594398</v>
      </c>
      <c r="M6">
        <v>0.60635219405594398</v>
      </c>
      <c r="N6">
        <v>0.60635219405594398</v>
      </c>
      <c r="O6">
        <v>0.60635219405594398</v>
      </c>
      <c r="P6">
        <v>0.60635219405594398</v>
      </c>
      <c r="Q6">
        <v>0.60635219405594398</v>
      </c>
      <c r="R6">
        <v>0.60635219405594398</v>
      </c>
      <c r="S6">
        <v>0.60635219405594398</v>
      </c>
      <c r="T6">
        <v>0.60635219405594398</v>
      </c>
      <c r="U6">
        <v>0.60635219405594398</v>
      </c>
      <c r="V6">
        <v>0.60635219405594398</v>
      </c>
      <c r="W6">
        <v>0.60635219405594398</v>
      </c>
      <c r="X6">
        <v>0.60635219405594398</v>
      </c>
      <c r="Y6">
        <v>0.60635219405594398</v>
      </c>
      <c r="Z6">
        <v>0.60635219405594398</v>
      </c>
      <c r="AA6">
        <v>0.60635219405594398</v>
      </c>
      <c r="AB6">
        <v>0.60635219405594398</v>
      </c>
      <c r="AC6">
        <v>0.60635219405594398</v>
      </c>
      <c r="AD6">
        <v>0.60635219405594398</v>
      </c>
      <c r="AE6">
        <v>0.60635219405594398</v>
      </c>
      <c r="AF6">
        <v>0.60635219405594398</v>
      </c>
      <c r="AG6">
        <v>0.60635219405594398</v>
      </c>
      <c r="AH6">
        <v>0.60635219405594398</v>
      </c>
      <c r="AI6">
        <v>0.60635219405594398</v>
      </c>
      <c r="AJ6">
        <v>0.60635219405594398</v>
      </c>
      <c r="AK6">
        <v>0.60635219405594398</v>
      </c>
      <c r="AL6">
        <v>0.60635219405594398</v>
      </c>
      <c r="AM6">
        <v>0.60635219405594398</v>
      </c>
      <c r="AN6">
        <v>0.60635219405594398</v>
      </c>
      <c r="AO6">
        <v>0.60635219405594398</v>
      </c>
      <c r="AP6">
        <v>0.60635219405594398</v>
      </c>
      <c r="AQ6">
        <v>0.60635219405594398</v>
      </c>
      <c r="AR6">
        <v>0.60635219405594398</v>
      </c>
      <c r="AS6">
        <v>0.60635219405594398</v>
      </c>
      <c r="AT6">
        <v>0.60635219405594398</v>
      </c>
      <c r="AU6">
        <v>0.60635219405594398</v>
      </c>
      <c r="AV6">
        <v>0.60635219405594398</v>
      </c>
      <c r="AW6">
        <v>0.60635219405594398</v>
      </c>
      <c r="AX6">
        <v>0.60635219405594398</v>
      </c>
      <c r="AY6">
        <v>0.60635219405594398</v>
      </c>
      <c r="AZ6">
        <v>0.60635219405594398</v>
      </c>
      <c r="BA6">
        <v>0.60635219405594398</v>
      </c>
      <c r="BB6">
        <v>0.60635219405594398</v>
      </c>
      <c r="BC6">
        <v>0.60635219405594398</v>
      </c>
      <c r="BD6">
        <v>0.60635219405594398</v>
      </c>
      <c r="BE6">
        <v>0.60635219405594398</v>
      </c>
      <c r="BF6">
        <v>0.60635219405594398</v>
      </c>
      <c r="BG6">
        <v>0.60635219405594398</v>
      </c>
      <c r="BH6">
        <v>0.60635219405594398</v>
      </c>
    </row>
    <row r="7" spans="1:60" x14ac:dyDescent="0.25">
      <c r="A7" s="5" t="s">
        <v>31</v>
      </c>
      <c r="B7" s="2">
        <v>0.50865419444444449</v>
      </c>
      <c r="C7">
        <v>0.50865419444444449</v>
      </c>
      <c r="D7">
        <v>0.50865419444444404</v>
      </c>
      <c r="E7">
        <v>0.50865419444444404</v>
      </c>
      <c r="F7">
        <v>0.50865419444444404</v>
      </c>
      <c r="G7">
        <v>0.50865419444444404</v>
      </c>
      <c r="H7">
        <v>0.50865419444444404</v>
      </c>
      <c r="I7">
        <v>0.50865419444444404</v>
      </c>
      <c r="J7">
        <v>0.50865419444444404</v>
      </c>
      <c r="K7">
        <v>0.50865419444444404</v>
      </c>
      <c r="L7">
        <v>0.50865419444444404</v>
      </c>
      <c r="M7">
        <v>0.50865419444444404</v>
      </c>
      <c r="N7">
        <v>0.50865419444444404</v>
      </c>
      <c r="O7">
        <v>0.50865419444444404</v>
      </c>
      <c r="P7">
        <v>0.50865419444444404</v>
      </c>
      <c r="Q7">
        <v>0.50865419444444404</v>
      </c>
      <c r="R7">
        <v>0.50865419444444404</v>
      </c>
      <c r="S7">
        <v>0.50865419444444404</v>
      </c>
      <c r="T7">
        <v>0.50865419444444404</v>
      </c>
      <c r="U7">
        <v>0.50865419444444404</v>
      </c>
      <c r="V7">
        <v>0.50865419444444404</v>
      </c>
      <c r="W7">
        <v>0.50865419444444404</v>
      </c>
      <c r="X7">
        <v>0.50865419444444404</v>
      </c>
      <c r="Y7">
        <v>0.50865419444444404</v>
      </c>
      <c r="Z7">
        <v>0.50865419444444404</v>
      </c>
      <c r="AA7">
        <v>0.50865419444444404</v>
      </c>
      <c r="AB7">
        <v>0.50865419444444404</v>
      </c>
      <c r="AC7">
        <v>0.50865419444444404</v>
      </c>
      <c r="AD7">
        <v>0.50865419444444404</v>
      </c>
      <c r="AE7">
        <v>0.50865419444444404</v>
      </c>
      <c r="AF7">
        <v>0.50865419444444404</v>
      </c>
      <c r="AG7">
        <v>0.50865419444444404</v>
      </c>
      <c r="AH7">
        <v>0.50865419444444404</v>
      </c>
      <c r="AI7">
        <v>0.50865419444444404</v>
      </c>
      <c r="AJ7">
        <v>0.50865419444444404</v>
      </c>
      <c r="AK7">
        <v>0.50865419444444404</v>
      </c>
      <c r="AL7">
        <v>0.50865419444444404</v>
      </c>
      <c r="AM7">
        <v>0.50865419444444404</v>
      </c>
      <c r="AN7">
        <v>0.50865419444444404</v>
      </c>
      <c r="AO7">
        <v>0.50865419444444404</v>
      </c>
      <c r="AP7">
        <v>0.50865419444444404</v>
      </c>
      <c r="AQ7">
        <v>0.50865419444444404</v>
      </c>
      <c r="AR7">
        <v>0.50865419444444404</v>
      </c>
      <c r="AS7">
        <v>0.50865419444444404</v>
      </c>
      <c r="AT7">
        <v>0.50865419444444404</v>
      </c>
      <c r="AU7">
        <v>0.50865419444444404</v>
      </c>
      <c r="AV7">
        <v>0.50865419444444404</v>
      </c>
      <c r="AW7">
        <v>0.50865419444444404</v>
      </c>
      <c r="AX7">
        <v>0.50865419444444404</v>
      </c>
      <c r="AY7">
        <v>0.50865419444444404</v>
      </c>
      <c r="AZ7">
        <v>0.50865419444444404</v>
      </c>
      <c r="BA7">
        <v>0.50865419444444404</v>
      </c>
      <c r="BB7">
        <v>0.50865419444444404</v>
      </c>
      <c r="BC7">
        <v>0.50865419444444404</v>
      </c>
      <c r="BD7">
        <v>0.50865419444444404</v>
      </c>
      <c r="BE7">
        <v>0.50865419444444404</v>
      </c>
      <c r="BF7">
        <v>0.50865419444444404</v>
      </c>
      <c r="BG7">
        <v>0.50865419444444404</v>
      </c>
      <c r="BH7">
        <v>0.50865419444444404</v>
      </c>
    </row>
    <row r="8" spans="1:60" x14ac:dyDescent="0.25">
      <c r="A8" s="5" t="s">
        <v>28</v>
      </c>
      <c r="B8" s="2">
        <v>0.47853028554778554</v>
      </c>
      <c r="C8">
        <v>0.47853028554778554</v>
      </c>
      <c r="D8">
        <v>0.47853028554778598</v>
      </c>
      <c r="E8">
        <v>0.47853028554778598</v>
      </c>
      <c r="F8">
        <v>0.47853028554778598</v>
      </c>
      <c r="G8">
        <v>0.47853028554778598</v>
      </c>
      <c r="H8">
        <v>0.47853028554778598</v>
      </c>
      <c r="I8">
        <v>0.47853028554778598</v>
      </c>
      <c r="J8">
        <v>0.47853028554778598</v>
      </c>
      <c r="K8">
        <v>0.47853028554778598</v>
      </c>
      <c r="L8">
        <v>0.47853028554778598</v>
      </c>
      <c r="M8">
        <v>0.47853028554778598</v>
      </c>
      <c r="N8">
        <v>0.47853028554778598</v>
      </c>
      <c r="O8">
        <v>0.47853028554778598</v>
      </c>
      <c r="P8">
        <v>0.47853028554778598</v>
      </c>
      <c r="Q8">
        <v>0.47853028554778598</v>
      </c>
      <c r="R8">
        <v>0.47853028554778598</v>
      </c>
      <c r="S8">
        <v>0.47853028554778598</v>
      </c>
      <c r="T8">
        <v>0.47853028554778598</v>
      </c>
      <c r="U8">
        <v>0.47853028554778598</v>
      </c>
      <c r="V8">
        <v>0.47853028554778598</v>
      </c>
      <c r="W8">
        <v>0.47853028554778598</v>
      </c>
      <c r="X8">
        <v>0.47853028554778598</v>
      </c>
      <c r="Y8">
        <v>0.47853028554778598</v>
      </c>
      <c r="Z8">
        <v>0.47853028554778598</v>
      </c>
      <c r="AA8">
        <v>0.47853028554778598</v>
      </c>
      <c r="AB8">
        <v>0.47853028554778598</v>
      </c>
      <c r="AC8">
        <v>0.47853028554778598</v>
      </c>
      <c r="AD8">
        <v>0.47853028554778598</v>
      </c>
      <c r="AE8">
        <v>0.47853028554778598</v>
      </c>
      <c r="AF8">
        <v>0.47853028554778598</v>
      </c>
      <c r="AG8">
        <v>0.47853028554778598</v>
      </c>
      <c r="AH8">
        <v>0.47853028554778598</v>
      </c>
      <c r="AI8">
        <v>0.47853028554778598</v>
      </c>
      <c r="AJ8">
        <v>0.47853028554778598</v>
      </c>
      <c r="AK8">
        <v>0.47853028554778598</v>
      </c>
      <c r="AL8">
        <v>0.47853028554778598</v>
      </c>
      <c r="AM8">
        <v>0.47853028554778598</v>
      </c>
      <c r="AN8">
        <v>0.47853028554778598</v>
      </c>
      <c r="AO8">
        <v>0.47853028554778598</v>
      </c>
      <c r="AP8">
        <v>0.47853028554778598</v>
      </c>
      <c r="AQ8">
        <v>0.47853028554778598</v>
      </c>
      <c r="AR8">
        <v>0.47853028554778598</v>
      </c>
      <c r="AS8">
        <v>0.47853028554778598</v>
      </c>
      <c r="AT8">
        <v>0.47853028554778598</v>
      </c>
      <c r="AU8">
        <v>0.47853028554778598</v>
      </c>
      <c r="AV8">
        <v>0.47853028554778598</v>
      </c>
      <c r="AW8">
        <v>0.47853028554778598</v>
      </c>
      <c r="AX8">
        <v>0.47853028554778598</v>
      </c>
      <c r="AY8">
        <v>0.47853028554778598</v>
      </c>
      <c r="AZ8">
        <v>0.47853028554778598</v>
      </c>
      <c r="BA8">
        <v>0.47853028554778598</v>
      </c>
      <c r="BB8">
        <v>0.47853028554778598</v>
      </c>
      <c r="BC8">
        <v>0.47853028554778598</v>
      </c>
      <c r="BD8">
        <v>0.47853028554778598</v>
      </c>
      <c r="BE8">
        <v>0.47853028554778598</v>
      </c>
      <c r="BF8">
        <v>0.47853028554778598</v>
      </c>
      <c r="BG8">
        <v>0.47853028554778598</v>
      </c>
      <c r="BH8">
        <v>0.47853028554778598</v>
      </c>
    </row>
    <row r="9" spans="1:60" x14ac:dyDescent="0.25">
      <c r="A9" s="5" t="s">
        <v>29</v>
      </c>
      <c r="B9" s="2">
        <v>0.57015341686091692</v>
      </c>
      <c r="C9">
        <v>0.57015341686091692</v>
      </c>
      <c r="D9">
        <v>0.57015341686091703</v>
      </c>
      <c r="E9">
        <v>0.57015341686091703</v>
      </c>
      <c r="F9">
        <v>0.57015341686091703</v>
      </c>
      <c r="G9">
        <v>0.57015341686091703</v>
      </c>
      <c r="H9">
        <v>0.57015341686091703</v>
      </c>
      <c r="I9">
        <v>0.57015341686091703</v>
      </c>
      <c r="J9">
        <v>0.57015341686091703</v>
      </c>
      <c r="K9">
        <v>0.57015341686091703</v>
      </c>
      <c r="L9">
        <v>0.57015341686091703</v>
      </c>
      <c r="M9">
        <v>0.57015341686091703</v>
      </c>
      <c r="N9">
        <v>0.57015341686091703</v>
      </c>
      <c r="O9">
        <v>0.57015341686091703</v>
      </c>
      <c r="P9">
        <v>0.57015341686091703</v>
      </c>
      <c r="Q9">
        <v>0.57015341686091703</v>
      </c>
      <c r="R9">
        <v>0.57015341686091703</v>
      </c>
      <c r="S9">
        <v>0.57015341686091703</v>
      </c>
      <c r="T9">
        <v>0.57015341686091703</v>
      </c>
      <c r="U9">
        <v>0.57015341686091703</v>
      </c>
      <c r="V9">
        <v>0.57015341686091703</v>
      </c>
      <c r="W9">
        <v>0.57015341686091703</v>
      </c>
      <c r="X9">
        <v>0.57015341686091703</v>
      </c>
      <c r="Y9">
        <v>0.57015341686091703</v>
      </c>
      <c r="Z9">
        <v>0.57015341686091703</v>
      </c>
      <c r="AA9">
        <v>0.57015341686091703</v>
      </c>
      <c r="AB9">
        <v>0.57015341686091703</v>
      </c>
      <c r="AC9">
        <v>0.57015341686091703</v>
      </c>
      <c r="AD9">
        <v>0.57015341686091703</v>
      </c>
      <c r="AE9">
        <v>0.57015341686091703</v>
      </c>
      <c r="AF9">
        <v>0.57015341686091703</v>
      </c>
      <c r="AG9">
        <v>0.57015341686091703</v>
      </c>
      <c r="AH9">
        <v>0.57015341686091703</v>
      </c>
      <c r="AI9">
        <v>0.57015341686091703</v>
      </c>
      <c r="AJ9">
        <v>0.57015341686091703</v>
      </c>
      <c r="AK9">
        <v>0.57015341686091703</v>
      </c>
      <c r="AL9">
        <v>0.57015341686091703</v>
      </c>
      <c r="AM9">
        <v>0.57015341686091703</v>
      </c>
      <c r="AN9">
        <v>0.57015341686091703</v>
      </c>
      <c r="AO9">
        <v>0.57015341686091703</v>
      </c>
      <c r="AP9">
        <v>0.57015341686091703</v>
      </c>
      <c r="AQ9">
        <v>0.57015341686091703</v>
      </c>
      <c r="AR9">
        <v>0.57015341686091703</v>
      </c>
      <c r="AS9">
        <v>0.57015341686091703</v>
      </c>
      <c r="AT9">
        <v>0.57015341686091703</v>
      </c>
      <c r="AU9">
        <v>0.57015341686091703</v>
      </c>
      <c r="AV9">
        <v>0.57015341686091703</v>
      </c>
      <c r="AW9">
        <v>0.57015341686091703</v>
      </c>
      <c r="AX9">
        <v>0.57015341686091703</v>
      </c>
      <c r="AY9">
        <v>0.57015341686091703</v>
      </c>
      <c r="AZ9">
        <v>0.57015341686091703</v>
      </c>
      <c r="BA9">
        <v>0.57015341686091703</v>
      </c>
      <c r="BB9">
        <v>0.57015341686091703</v>
      </c>
      <c r="BC9">
        <v>0.57015341686091703</v>
      </c>
      <c r="BD9">
        <v>0.57015341686091703</v>
      </c>
      <c r="BE9">
        <v>0.57015341686091703</v>
      </c>
      <c r="BF9">
        <v>0.57015341686091703</v>
      </c>
      <c r="BG9">
        <v>0.57015341686091703</v>
      </c>
      <c r="BH9">
        <v>0.57015341686091703</v>
      </c>
    </row>
    <row r="11" spans="1:60" x14ac:dyDescent="0.25">
      <c r="A11" s="9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  <c r="P11" t="s">
        <v>53</v>
      </c>
      <c r="Q11" t="s">
        <v>54</v>
      </c>
      <c r="R11" t="s">
        <v>55</v>
      </c>
      <c r="S11" t="s">
        <v>56</v>
      </c>
      <c r="T11" t="s">
        <v>57</v>
      </c>
      <c r="U11" t="s">
        <v>58</v>
      </c>
      <c r="V11" t="s">
        <v>59</v>
      </c>
      <c r="W11" t="s">
        <v>60</v>
      </c>
      <c r="X11" t="s">
        <v>61</v>
      </c>
      <c r="Y11" t="s">
        <v>62</v>
      </c>
      <c r="Z11" t="s">
        <v>63</v>
      </c>
      <c r="AA11" t="s">
        <v>64</v>
      </c>
      <c r="AB11" t="s">
        <v>65</v>
      </c>
      <c r="AC11" t="s">
        <v>66</v>
      </c>
      <c r="AD11" t="s">
        <v>67</v>
      </c>
      <c r="AE11" t="s">
        <v>68</v>
      </c>
      <c r="AF11" t="s">
        <v>69</v>
      </c>
      <c r="AG11" t="s">
        <v>70</v>
      </c>
      <c r="AH11" t="s">
        <v>71</v>
      </c>
      <c r="AI11" t="s">
        <v>72</v>
      </c>
      <c r="AJ11" t="s">
        <v>73</v>
      </c>
      <c r="AK11" t="s">
        <v>74</v>
      </c>
      <c r="AL11" t="s">
        <v>75</v>
      </c>
      <c r="AM11" t="s">
        <v>76</v>
      </c>
      <c r="AN11" t="s">
        <v>77</v>
      </c>
      <c r="AO11" t="s">
        <v>78</v>
      </c>
      <c r="AP11" t="s">
        <v>79</v>
      </c>
      <c r="AQ11" t="s">
        <v>80</v>
      </c>
      <c r="AR11" t="s">
        <v>81</v>
      </c>
      <c r="AS11" t="s">
        <v>82</v>
      </c>
      <c r="AT11" t="s">
        <v>83</v>
      </c>
      <c r="AU11" t="s">
        <v>84</v>
      </c>
      <c r="AV11" t="s">
        <v>85</v>
      </c>
      <c r="AW11" t="s">
        <v>86</v>
      </c>
      <c r="AX11" t="s">
        <v>87</v>
      </c>
      <c r="AY11" t="s">
        <v>88</v>
      </c>
      <c r="AZ11" t="s">
        <v>89</v>
      </c>
      <c r="BA11" t="s">
        <v>90</v>
      </c>
      <c r="BB11" t="s">
        <v>91</v>
      </c>
      <c r="BC11" t="s">
        <v>92</v>
      </c>
      <c r="BD11" t="s">
        <v>93</v>
      </c>
      <c r="BE11" t="s">
        <v>94</v>
      </c>
      <c r="BF11" t="s">
        <v>95</v>
      </c>
      <c r="BG11" t="s">
        <v>96</v>
      </c>
      <c r="BH11" t="s">
        <v>97</v>
      </c>
    </row>
    <row r="12" spans="1:60" x14ac:dyDescent="0.25">
      <c r="B12">
        <v>3.09</v>
      </c>
      <c r="C12">
        <v>0.19900000000000001</v>
      </c>
      <c r="D12">
        <v>0.29699999999999999</v>
      </c>
      <c r="E12">
        <v>1.48</v>
      </c>
      <c r="F12">
        <v>4.9059999999999997</v>
      </c>
      <c r="G12">
        <v>2.17</v>
      </c>
      <c r="H12">
        <v>0.46100000000000002</v>
      </c>
      <c r="I12">
        <v>13.446</v>
      </c>
      <c r="J12">
        <v>1.679</v>
      </c>
      <c r="K12">
        <v>128.74</v>
      </c>
      <c r="L12">
        <v>3.2149999999999999</v>
      </c>
      <c r="M12">
        <v>0.69399999999999995</v>
      </c>
      <c r="N12">
        <v>63.9</v>
      </c>
      <c r="O12">
        <v>0.57099999999999995</v>
      </c>
      <c r="P12">
        <v>10.8163</v>
      </c>
      <c r="Q12">
        <v>88.13</v>
      </c>
      <c r="R12">
        <v>89.24</v>
      </c>
      <c r="S12">
        <v>0.25037720000000002</v>
      </c>
      <c r="T12">
        <v>-2.4676400000000001E-2</v>
      </c>
      <c r="U12">
        <v>3.2059999999999999E-4</v>
      </c>
      <c r="V12">
        <v>2.656E-4</v>
      </c>
      <c r="W12" s="10">
        <v>-6.1999999999999999E-6</v>
      </c>
      <c r="X12">
        <v>4.9400000000000004</v>
      </c>
      <c r="Y12">
        <v>1.7673999999999999E-2</v>
      </c>
      <c r="Z12">
        <v>-9.4943299999999994E-2</v>
      </c>
      <c r="AA12">
        <v>3.9639999999999999E-4</v>
      </c>
      <c r="AB12">
        <v>-1.008E-4</v>
      </c>
      <c r="AC12">
        <v>1.7660277</v>
      </c>
      <c r="AD12">
        <v>-4.2662999999999998E-3</v>
      </c>
      <c r="AE12">
        <v>1.3396999999999999E-2</v>
      </c>
      <c r="AF12">
        <v>-6.6500000000000001E-4</v>
      </c>
      <c r="AG12">
        <v>3.7169999999999998E-4</v>
      </c>
      <c r="AH12" s="10">
        <v>4.27336399026575E-5</v>
      </c>
      <c r="AI12">
        <v>13893.627</v>
      </c>
      <c r="AJ12">
        <v>6695.0367816242697</v>
      </c>
      <c r="AK12">
        <v>5422.3544490466702</v>
      </c>
      <c r="AL12">
        <v>2.6608211721673798</v>
      </c>
      <c r="AM12">
        <v>0.98252219304872901</v>
      </c>
      <c r="AN12">
        <v>0.82376415134845504</v>
      </c>
      <c r="AO12">
        <v>2.2796059626050398</v>
      </c>
      <c r="AP12">
        <v>-3.7448176241017899E-3</v>
      </c>
      <c r="AQ12">
        <v>0.19124526839511399</v>
      </c>
      <c r="AR12">
        <v>0.20005294144989699</v>
      </c>
      <c r="AS12">
        <v>0.26533781557443697</v>
      </c>
      <c r="AT12">
        <v>0.19007568224792201</v>
      </c>
      <c r="AU12">
        <v>0.42233535017116403</v>
      </c>
      <c r="AV12">
        <v>1.0958373901665099</v>
      </c>
      <c r="AW12">
        <v>4.0070887325761504</v>
      </c>
      <c r="AX12">
        <v>8508.2659999999996</v>
      </c>
      <c r="AY12">
        <v>13861.958000000001</v>
      </c>
      <c r="AZ12">
        <v>26374.576000000001</v>
      </c>
      <c r="BA12">
        <v>59307.481</v>
      </c>
      <c r="BB12">
        <v>117239.4</v>
      </c>
      <c r="BC12">
        <v>234744.56</v>
      </c>
      <c r="BD12">
        <v>456267.511</v>
      </c>
      <c r="BE12">
        <v>615656.97900000005</v>
      </c>
      <c r="BF12">
        <v>483608.37800000201</v>
      </c>
      <c r="BG12">
        <v>216670.85699999999</v>
      </c>
      <c r="BH12">
        <v>0.96842087296324697</v>
      </c>
    </row>
    <row r="13" spans="1:60" x14ac:dyDescent="0.25">
      <c r="B13">
        <v>3.79</v>
      </c>
      <c r="C13">
        <v>0.34899999999999998</v>
      </c>
      <c r="D13">
        <v>0.33700000000000002</v>
      </c>
      <c r="E13">
        <v>2.34</v>
      </c>
      <c r="F13">
        <v>8.1630000000000003</v>
      </c>
      <c r="G13">
        <v>3.15</v>
      </c>
      <c r="H13">
        <v>0.317</v>
      </c>
      <c r="I13">
        <v>23.766999999999999</v>
      </c>
      <c r="J13">
        <v>2.1520000000000001</v>
      </c>
      <c r="K13">
        <v>128.44</v>
      </c>
      <c r="L13">
        <v>4.0220000000000002</v>
      </c>
      <c r="M13">
        <v>0.49199999999999999</v>
      </c>
      <c r="N13">
        <v>57.9</v>
      </c>
      <c r="O13">
        <v>0.438</v>
      </c>
      <c r="P13">
        <v>7.41</v>
      </c>
      <c r="Q13">
        <v>86.7</v>
      </c>
      <c r="R13">
        <v>86.94</v>
      </c>
      <c r="S13">
        <v>0.37505500000000003</v>
      </c>
      <c r="T13">
        <v>-1.6316E-3</v>
      </c>
      <c r="U13">
        <v>1.4973E-3</v>
      </c>
      <c r="V13" s="10">
        <v>1.3E-6</v>
      </c>
      <c r="W13" s="10">
        <v>-3.0599999999999998E-5</v>
      </c>
      <c r="X13">
        <v>8.1630000000000003</v>
      </c>
      <c r="Y13">
        <v>8.1390000000000004E-3</v>
      </c>
      <c r="Z13">
        <v>-2.2124600000000001E-2</v>
      </c>
      <c r="AA13">
        <v>5.1519999999999995E-4</v>
      </c>
      <c r="AB13">
        <v>-1.5669999999999999E-4</v>
      </c>
      <c r="AC13">
        <v>14.875094000000001</v>
      </c>
      <c r="AD13">
        <v>-1.7495500000000001E-2</v>
      </c>
      <c r="AE13">
        <v>1.1901200000000001E-2</v>
      </c>
      <c r="AF13">
        <v>5.0940000000000002E-4</v>
      </c>
      <c r="AG13" s="10">
        <v>8.8900000000000006E-5</v>
      </c>
      <c r="AH13" s="10">
        <v>3.9730385848114799E-5</v>
      </c>
      <c r="AI13">
        <v>13868.728999999999</v>
      </c>
      <c r="AJ13">
        <v>6712.182704416</v>
      </c>
      <c r="AK13">
        <v>5455.0044085603004</v>
      </c>
      <c r="AL13">
        <v>2.5978545057907501</v>
      </c>
      <c r="AM13">
        <v>0.98287359501328297</v>
      </c>
      <c r="AN13">
        <v>0.82993884162545195</v>
      </c>
      <c r="AO13">
        <v>2.3987359915875901</v>
      </c>
      <c r="AP13">
        <v>-3.6562675614092402E-3</v>
      </c>
      <c r="AQ13">
        <v>0.26215319448895302</v>
      </c>
      <c r="AR13">
        <v>0.11873196027742999</v>
      </c>
      <c r="AS13">
        <v>0.196136902746296</v>
      </c>
      <c r="AT13">
        <v>0.13829204134320999</v>
      </c>
      <c r="AU13">
        <v>0.69091634977064598</v>
      </c>
      <c r="AV13">
        <v>0.79904606174843795</v>
      </c>
      <c r="AW13">
        <v>3.8333269230769198</v>
      </c>
      <c r="AX13">
        <v>8492.4879999999994</v>
      </c>
      <c r="AY13">
        <v>13237.513000000001</v>
      </c>
      <c r="AZ13">
        <v>26965.819</v>
      </c>
      <c r="BA13">
        <v>59441.919000000002</v>
      </c>
      <c r="BB13">
        <v>121948.7</v>
      </c>
      <c r="BC13">
        <v>234243.46800000101</v>
      </c>
      <c r="BD13">
        <v>451696.88899999898</v>
      </c>
      <c r="BE13">
        <v>556985.33100000001</v>
      </c>
      <c r="BF13">
        <v>504476.25000000198</v>
      </c>
      <c r="BG13">
        <v>213304.41200000001</v>
      </c>
      <c r="BH13">
        <v>0.97205348968821004</v>
      </c>
    </row>
    <row r="14" spans="1:60" x14ac:dyDescent="0.25">
      <c r="B14">
        <v>3.1</v>
      </c>
      <c r="C14">
        <v>0.19</v>
      </c>
      <c r="D14">
        <v>0.26800000000000002</v>
      </c>
      <c r="E14">
        <v>1.47</v>
      </c>
      <c r="F14">
        <v>4.6420000000000003</v>
      </c>
      <c r="G14">
        <v>2.86</v>
      </c>
      <c r="H14">
        <v>0.35</v>
      </c>
      <c r="I14">
        <v>12.964</v>
      </c>
      <c r="J14">
        <v>1.546</v>
      </c>
      <c r="K14">
        <v>147.41</v>
      </c>
      <c r="L14">
        <v>3.3959999999999999</v>
      </c>
      <c r="M14">
        <v>0.88100000000000001</v>
      </c>
      <c r="N14">
        <v>74.7</v>
      </c>
      <c r="O14">
        <v>0.72</v>
      </c>
      <c r="P14">
        <v>10.7706</v>
      </c>
      <c r="Q14">
        <v>89.1</v>
      </c>
      <c r="R14">
        <v>90.21</v>
      </c>
      <c r="S14">
        <v>0.2434451</v>
      </c>
      <c r="T14">
        <v>-2.7191199999999999E-2</v>
      </c>
      <c r="U14">
        <v>1.1335E-3</v>
      </c>
      <c r="V14">
        <v>3.4729999999999999E-4</v>
      </c>
      <c r="W14" s="10">
        <v>-2.72E-5</v>
      </c>
      <c r="X14">
        <v>4.62</v>
      </c>
      <c r="Y14">
        <v>-7.3696499999999998E-2</v>
      </c>
      <c r="Z14">
        <v>-7.4991000000000002E-2</v>
      </c>
      <c r="AA14">
        <v>8.2430000000000003E-4</v>
      </c>
      <c r="AB14">
        <v>-8.6129999999999996E-4</v>
      </c>
      <c r="AC14">
        <v>2.1741285000000001</v>
      </c>
      <c r="AD14">
        <v>-2.4995999999999998E-3</v>
      </c>
      <c r="AE14">
        <v>6.1248999999999998E-2</v>
      </c>
      <c r="AF14">
        <v>3.6579999999999998E-3</v>
      </c>
      <c r="AG14">
        <v>5.3669999999999998E-4</v>
      </c>
      <c r="AH14" s="10">
        <v>4.7287674439954097E-5</v>
      </c>
      <c r="AI14">
        <v>13797.4</v>
      </c>
      <c r="AJ14">
        <v>6712.6646144814304</v>
      </c>
      <c r="AK14">
        <v>5408.0075978923696</v>
      </c>
      <c r="AL14">
        <v>2.64324789515674</v>
      </c>
      <c r="AM14">
        <v>0.98312128809791599</v>
      </c>
      <c r="AN14">
        <v>0.82987836149498495</v>
      </c>
      <c r="AO14">
        <v>2.3146565708748401</v>
      </c>
      <c r="AP14">
        <v>-3.7567532622275902E-3</v>
      </c>
      <c r="AQ14">
        <v>0.280097187258605</v>
      </c>
      <c r="AR14">
        <v>0.12562698327591099</v>
      </c>
      <c r="AS14">
        <v>0.257920347545749</v>
      </c>
      <c r="AT14">
        <v>0.207310438871254</v>
      </c>
      <c r="AU14">
        <v>0.376555968607583</v>
      </c>
      <c r="AV14">
        <v>1.0542894431551999</v>
      </c>
      <c r="AW14">
        <v>3.7273791623644801</v>
      </c>
      <c r="AX14">
        <v>8310.3739999999998</v>
      </c>
      <c r="AY14">
        <v>13544.634</v>
      </c>
      <c r="AZ14">
        <v>26766.438999999998</v>
      </c>
      <c r="BA14">
        <v>59726.963999999898</v>
      </c>
      <c r="BB14">
        <v>119788.723</v>
      </c>
      <c r="BC14">
        <v>236582.071</v>
      </c>
      <c r="BD14">
        <v>455946.89199999999</v>
      </c>
      <c r="BE14">
        <v>611414.88299999898</v>
      </c>
      <c r="BF14">
        <v>504872.81700000202</v>
      </c>
      <c r="BG14">
        <v>214358.26200000101</v>
      </c>
      <c r="BH14">
        <v>0.97350727734008002</v>
      </c>
    </row>
    <row r="15" spans="1:60" x14ac:dyDescent="0.25">
      <c r="B15">
        <v>3.15</v>
      </c>
      <c r="C15">
        <v>0.29399999999999998</v>
      </c>
      <c r="D15">
        <v>0.39</v>
      </c>
      <c r="E15">
        <v>1.75</v>
      </c>
      <c r="F15">
        <v>5.3170000000000002</v>
      </c>
      <c r="G15">
        <v>3.18</v>
      </c>
      <c r="H15">
        <v>0.314</v>
      </c>
      <c r="I15">
        <v>15.266999999999999</v>
      </c>
      <c r="J15">
        <v>1.5589999999999999</v>
      </c>
      <c r="K15">
        <v>136.85</v>
      </c>
      <c r="L15">
        <v>4.4690000000000003</v>
      </c>
      <c r="M15">
        <v>0.77600000000000002</v>
      </c>
      <c r="N15">
        <v>72.599999999999994</v>
      </c>
      <c r="O15">
        <v>0.66100000000000003</v>
      </c>
      <c r="P15">
        <v>8.3316999999999997</v>
      </c>
      <c r="Q15">
        <v>88.18</v>
      </c>
      <c r="R15">
        <v>89.22</v>
      </c>
      <c r="S15">
        <v>0.3468253</v>
      </c>
      <c r="T15">
        <v>-2.4916000000000001E-2</v>
      </c>
      <c r="U15">
        <v>3.1080000000000002E-4</v>
      </c>
      <c r="V15">
        <v>1.9670000000000001E-4</v>
      </c>
      <c r="W15" s="10">
        <v>3.1999999999999999E-6</v>
      </c>
      <c r="X15">
        <v>5.32</v>
      </c>
      <c r="Y15">
        <v>-5.2387099999999999E-2</v>
      </c>
      <c r="Z15">
        <v>-2.38318E-2</v>
      </c>
      <c r="AA15">
        <v>6.8280000000000001E-4</v>
      </c>
      <c r="AB15">
        <v>-7.986E-4</v>
      </c>
      <c r="AC15">
        <v>2.0968977999999998</v>
      </c>
      <c r="AD15">
        <v>2.2744500000000001E-2</v>
      </c>
      <c r="AE15">
        <v>2.99759E-2</v>
      </c>
      <c r="AF15">
        <v>5.7790000000000001E-4</v>
      </c>
      <c r="AG15">
        <v>1.9249999999999999E-4</v>
      </c>
      <c r="AH15" s="10">
        <v>3.5576362760699497E-5</v>
      </c>
      <c r="AI15">
        <v>14001.293</v>
      </c>
      <c r="AJ15">
        <v>6712.0836249547801</v>
      </c>
      <c r="AK15">
        <v>5484.0406785506802</v>
      </c>
      <c r="AL15">
        <v>2.59185814942246</v>
      </c>
      <c r="AM15">
        <v>0.98279521273460702</v>
      </c>
      <c r="AN15">
        <v>0.82950402182087601</v>
      </c>
      <c r="AO15">
        <v>2.40653641835226</v>
      </c>
      <c r="AP15">
        <v>-3.6315908618726098E-3</v>
      </c>
      <c r="AQ15">
        <v>0.223510366749025</v>
      </c>
      <c r="AR15">
        <v>0.252781997566348</v>
      </c>
      <c r="AS15">
        <v>0.18950787293822599</v>
      </c>
      <c r="AT15">
        <v>0.20847813918836899</v>
      </c>
      <c r="AU15">
        <v>0.486201582643492</v>
      </c>
      <c r="AV15">
        <v>1.0030909875353</v>
      </c>
      <c r="AW15">
        <v>4.4912245740836303</v>
      </c>
      <c r="AX15">
        <v>8630.5259999999998</v>
      </c>
      <c r="AY15">
        <v>14004.635</v>
      </c>
      <c r="AZ15">
        <v>26245.603999999999</v>
      </c>
      <c r="BA15">
        <v>60133.697</v>
      </c>
      <c r="BB15">
        <v>118304.87699999999</v>
      </c>
      <c r="BC15">
        <v>232568.734999999</v>
      </c>
      <c r="BD15">
        <v>453106.21900000202</v>
      </c>
      <c r="BE15">
        <v>564247.49399999902</v>
      </c>
      <c r="BF15">
        <v>483798.47100000002</v>
      </c>
      <c r="BG15">
        <v>214898.865000002</v>
      </c>
      <c r="BH15">
        <v>0.96285014176195804</v>
      </c>
    </row>
    <row r="16" spans="1:60" x14ac:dyDescent="0.25">
      <c r="W16" s="10"/>
      <c r="AH16" s="10"/>
    </row>
    <row r="17" spans="1:60" x14ac:dyDescent="0.25">
      <c r="A17" s="13" t="s">
        <v>158</v>
      </c>
      <c r="B17" t="s">
        <v>98</v>
      </c>
      <c r="W17" s="10"/>
      <c r="AH17" s="10"/>
    </row>
    <row r="18" spans="1:60" x14ac:dyDescent="0.25">
      <c r="A18" s="9" t="s">
        <v>34</v>
      </c>
      <c r="B18">
        <f>CORREL(B19:B22,B12:B15)</f>
        <v>-0.45156606521160697</v>
      </c>
      <c r="C18">
        <f>CORREL(C19:C22,C12:C15)</f>
        <v>0.10959811046829335</v>
      </c>
      <c r="D18">
        <f>CORREL(D19:D22,D12:D15)</f>
        <v>0.71727390869067553</v>
      </c>
      <c r="E18">
        <f>CORREL(E19:E22,E12:E15)</f>
        <v>-0.22095930057767005</v>
      </c>
      <c r="F18">
        <f>CORREL(F19:F22,F12:F15)</f>
        <v>-0.37980596326408733</v>
      </c>
      <c r="G18">
        <f>CORREL(G19:G22,G12:G15)</f>
        <v>0.36719925316641466</v>
      </c>
      <c r="H18">
        <f>CORREL(H19:H22,H12:H15)</f>
        <v>-0.343713742897435</v>
      </c>
      <c r="I18">
        <f>CORREL(I19:I22,I12:I15)</f>
        <v>-0.3455574174509094</v>
      </c>
      <c r="J18" s="12">
        <f>CORREL(J19:J22,J12:J15)</f>
        <v>-0.59091061320611804</v>
      </c>
      <c r="K18">
        <f>CORREL(K19:K22,K12:K15)</f>
        <v>0.24906711726623518</v>
      </c>
      <c r="L18" s="4">
        <f>CORREL(L19:L22,L12:L15)</f>
        <v>0.6688873746839169</v>
      </c>
      <c r="M18">
        <f>CORREL(M19:M22,M12:M15)</f>
        <v>0.45097948014963068</v>
      </c>
      <c r="N18" s="12">
        <f>CORREL(N19:N22,N12:N15)</f>
        <v>0.60958477110761489</v>
      </c>
      <c r="O18">
        <f>CORREL(O19:O22,O12:O15)</f>
        <v>0.52142247835602551</v>
      </c>
      <c r="P18">
        <f>CORREL(P19:P22,P12:P15)</f>
        <v>-0.18897829763210033</v>
      </c>
      <c r="Q18">
        <f>CORREL(Q19:Q22,Q12:Q15)</f>
        <v>0.3036272122544168</v>
      </c>
      <c r="R18">
        <f>CORREL(R19:R22,R12:R15)</f>
        <v>0.35485794103822271</v>
      </c>
      <c r="S18">
        <f>CORREL(S19:S22,S12:S15)</f>
        <v>0.23155478063949775</v>
      </c>
      <c r="T18">
        <f>CORREL(T19:T22,T12:T15)</f>
        <v>-0.48613505085251468</v>
      </c>
      <c r="U18" s="4">
        <f>CORREL(U19:U22,U12:U15)</f>
        <v>-0.65318364702282283</v>
      </c>
      <c r="V18">
        <f>CORREL(V19:V22,V12:V15)</f>
        <v>0.18220523561149923</v>
      </c>
      <c r="W18" s="4">
        <f>CORREL(W19:W22,W12:W15)</f>
        <v>0.79408162315880959</v>
      </c>
      <c r="X18">
        <f>CORREL(X19:X22,X12:X15)</f>
        <v>-0.38058209150029132</v>
      </c>
      <c r="Y18">
        <f>CORREL(Y19:Y22,Y12:Y15)</f>
        <v>-0.50985450426270296</v>
      </c>
      <c r="Z18">
        <f>CORREL(Z19:Z22,Z12:Z15)</f>
        <v>0.37958326679233934</v>
      </c>
      <c r="AA18">
        <f>CORREL(AA19:AA22,AA12:AA15)</f>
        <v>0.35964491312770547</v>
      </c>
      <c r="AB18">
        <f>CORREL(AB19:AB22,AB12:AB15)</f>
        <v>-0.62166972528762399</v>
      </c>
      <c r="AC18">
        <f>CORREL(AC19:AC22,AC12:AC15)</f>
        <v>-0.50963571532836371</v>
      </c>
      <c r="AD18" s="4">
        <f>CORREL(AD19:AD22,AD12:AD15)</f>
        <v>0.97986862747975723</v>
      </c>
      <c r="AE18">
        <f>CORREL(AE19:AE22,AE12:AE15)</f>
        <v>0.16709732233141833</v>
      </c>
      <c r="AF18">
        <f>CORREL(AF19:AF22,AF12:AF15)</f>
        <v>-6.3973304371949744E-2</v>
      </c>
      <c r="AG18">
        <f>CORREL(AG19:AG22,AG12:AG15)</f>
        <v>-0.15344471251446343</v>
      </c>
      <c r="AH18" s="4">
        <f>CORREL(AH19:AH22,AH12:AH15)</f>
        <v>-0.64092701495725268</v>
      </c>
      <c r="AI18" s="4">
        <f>CORREL(AI19:AI22,AI12:AI15)</f>
        <v>0.81034426814661298</v>
      </c>
      <c r="AJ18">
        <f>CORREL(AJ19:AJ22,AJ12:AJ15)</f>
        <v>0.2510332857157212</v>
      </c>
      <c r="AK18" s="4">
        <f>CORREL(AK19:AK22,AK12:AK15)</f>
        <v>0.67820040746413457</v>
      </c>
      <c r="AL18">
        <f>CORREL(AL19:AL22,AL12:AL15)</f>
        <v>-0.46270308065817239</v>
      </c>
      <c r="AM18">
        <f>CORREL(AM19:AM22,AM12:AM15)</f>
        <v>-6.5069785421031687E-2</v>
      </c>
      <c r="AN18">
        <f>CORREL(AN19:AN22,AN12:AN15)</f>
        <v>0.20218775685827187</v>
      </c>
      <c r="AO18">
        <f>CORREL(AO19:AO22,AO12:AO15)</f>
        <v>0.44279709805326201</v>
      </c>
      <c r="AP18">
        <f>CORREL(AP19:AP22,AP12:AP15)</f>
        <v>0.53515817080341721</v>
      </c>
      <c r="AQ18">
        <f>CORREL(AQ19:AQ22,AQ12:AQ15)</f>
        <v>-0.28359852797152063</v>
      </c>
      <c r="AR18" s="4">
        <f>CORREL(AR19:AR22,AR12:AR15)</f>
        <v>0.8461315267577646</v>
      </c>
      <c r="AS18">
        <f>CORREL(AS19:AS22,AS12:AS15)</f>
        <v>-0.46083529519391636</v>
      </c>
      <c r="AT18">
        <f>CORREL(AT19:AT22,AT12:AT15)</f>
        <v>0.6303135881487647</v>
      </c>
      <c r="AU18">
        <f>CORREL(AU19:AU22,AU12:AU15)</f>
        <v>-0.2449368006815211</v>
      </c>
      <c r="AV18">
        <f>CORREL(AV19:AV22,AV12:AV15)</f>
        <v>0.27125463002643424</v>
      </c>
      <c r="AW18" s="4">
        <f>CORREL(AW19:AW22,AW12:AW15)</f>
        <v>0.91459599638385891</v>
      </c>
      <c r="AX18">
        <f>CORREL(AX19:AX22,AX12:AX15)</f>
        <v>0.6300300736505805</v>
      </c>
      <c r="AY18" s="4">
        <f>CORREL(AY19:AY22,AY12:AY15)</f>
        <v>0.76760994450110498</v>
      </c>
      <c r="AZ18">
        <f>CORREL(AZ19:AZ22,AZ12:AZ15)</f>
        <v>-0.75933985034802853</v>
      </c>
      <c r="BA18" s="4">
        <f>CORREL(BA19:BA22,BA12:BA15)</f>
        <v>0.89835614583344114</v>
      </c>
      <c r="BB18">
        <f>CORREL(BB19:BB22,BB12:BB15)</f>
        <v>-0.46522591842002892</v>
      </c>
      <c r="BC18" s="4">
        <f>CORREL(BC19:BC22,BC12:BC15)</f>
        <v>-0.67379500000456471</v>
      </c>
      <c r="BD18">
        <f>CORREL(BD19:BD22,BD12:BD15)</f>
        <v>-0.14812958558874045</v>
      </c>
      <c r="BE18">
        <f>CORREL(BE19:BE22,BE12:BE15)</f>
        <v>-0.30907741165590591</v>
      </c>
      <c r="BF18">
        <f>CORREL(BF19:BF22,BF12:BF15)</f>
        <v>-0.61056525391650496</v>
      </c>
      <c r="BG18">
        <f>CORREL(BG19:BG22,BG12:BG15)</f>
        <v>0.16507638701548943</v>
      </c>
      <c r="BH18" s="4">
        <f>CORREL(BH19:BH22,BH12:BH15)</f>
        <v>-0.87664116640307943</v>
      </c>
    </row>
    <row r="19" spans="1:60" x14ac:dyDescent="0.25">
      <c r="A19" s="5" t="s">
        <v>30</v>
      </c>
      <c r="B19" s="2">
        <v>0.52120141958041899</v>
      </c>
      <c r="C19" s="2">
        <v>0.52120141958041943</v>
      </c>
      <c r="D19" s="2">
        <v>0.52120141958041943</v>
      </c>
      <c r="E19" s="2">
        <v>0.52120141958041943</v>
      </c>
      <c r="F19" s="2">
        <v>0.52120141958041943</v>
      </c>
      <c r="G19" s="2">
        <v>0.52120141958041943</v>
      </c>
      <c r="H19" s="2">
        <v>0.52120141958041943</v>
      </c>
      <c r="I19" s="2">
        <v>0.52120141958041943</v>
      </c>
      <c r="J19" s="2">
        <v>0.52120141958041943</v>
      </c>
      <c r="K19" s="2">
        <v>0.52120141958041943</v>
      </c>
      <c r="L19" s="2">
        <v>0.52120141958041943</v>
      </c>
      <c r="M19" s="2">
        <v>0.52120141958041943</v>
      </c>
      <c r="N19" s="2">
        <v>0.52120141958041943</v>
      </c>
      <c r="O19" s="2">
        <v>0.52120141958041943</v>
      </c>
      <c r="P19" s="2">
        <v>0.52120141958041943</v>
      </c>
      <c r="Q19" s="2">
        <v>0.52120141958041943</v>
      </c>
      <c r="R19" s="2">
        <v>0.52120141958041943</v>
      </c>
      <c r="S19" s="2">
        <v>0.52120141958041943</v>
      </c>
      <c r="T19" s="2">
        <v>0.52120141958041943</v>
      </c>
      <c r="U19" s="2">
        <v>0.52120141958041943</v>
      </c>
      <c r="V19" s="2">
        <v>0.52120141958041943</v>
      </c>
      <c r="W19" s="2">
        <v>0.52120141958041943</v>
      </c>
      <c r="X19" s="2">
        <v>0.52120141958041943</v>
      </c>
      <c r="Y19" s="2">
        <v>0.52120141958041943</v>
      </c>
      <c r="Z19" s="2">
        <v>0.52120141958041943</v>
      </c>
      <c r="AA19" s="2">
        <v>0.52120141958041943</v>
      </c>
      <c r="AB19" s="2">
        <v>0.52120141958041943</v>
      </c>
      <c r="AC19" s="2">
        <v>0.52120141958041943</v>
      </c>
      <c r="AD19" s="2">
        <v>0.52120141958041943</v>
      </c>
      <c r="AE19" s="2">
        <v>0.52120141958041943</v>
      </c>
      <c r="AF19" s="2">
        <v>0.52120141958041943</v>
      </c>
      <c r="AG19" s="2">
        <v>0.52120141958041943</v>
      </c>
      <c r="AH19" s="2">
        <v>0.52120141958041943</v>
      </c>
      <c r="AI19" s="2">
        <v>0.52120141958041943</v>
      </c>
      <c r="AJ19" s="2">
        <v>0.52120141958041943</v>
      </c>
      <c r="AK19" s="2">
        <v>0.52120141958041943</v>
      </c>
      <c r="AL19" s="2">
        <v>0.52120141958041943</v>
      </c>
      <c r="AM19" s="2">
        <v>0.52120141958041943</v>
      </c>
      <c r="AN19" s="2">
        <v>0.52120141958041943</v>
      </c>
      <c r="AO19" s="2">
        <v>0.52120141958041943</v>
      </c>
      <c r="AP19" s="2">
        <v>0.52120141958041943</v>
      </c>
      <c r="AQ19" s="2">
        <v>0.52120141958041943</v>
      </c>
      <c r="AR19" s="2">
        <v>0.52120141958041943</v>
      </c>
      <c r="AS19" s="2">
        <v>0.52120141958041943</v>
      </c>
      <c r="AT19" s="2">
        <v>0.52120141958041943</v>
      </c>
      <c r="AU19" s="2">
        <v>0.52120141958041943</v>
      </c>
      <c r="AV19" s="2">
        <v>0.52120141958041943</v>
      </c>
      <c r="AW19" s="2">
        <v>0.52120141958041943</v>
      </c>
      <c r="AX19" s="2">
        <v>0.52120141958041943</v>
      </c>
      <c r="AY19" s="2">
        <v>0.52120141958041943</v>
      </c>
      <c r="AZ19" s="2">
        <v>0.52120141958041943</v>
      </c>
      <c r="BA19" s="2">
        <v>0.52120141958041943</v>
      </c>
      <c r="BB19" s="2">
        <v>0.52120141958041943</v>
      </c>
      <c r="BC19" s="2">
        <v>0.52120141958041943</v>
      </c>
      <c r="BD19" s="2">
        <v>0.52120141958041943</v>
      </c>
      <c r="BE19" s="2">
        <v>0.52120141958041943</v>
      </c>
      <c r="BF19" s="2">
        <v>0.52120141958041943</v>
      </c>
      <c r="BG19" s="2">
        <v>0.52120141958041943</v>
      </c>
      <c r="BH19" s="2">
        <v>0.52120141958041943</v>
      </c>
    </row>
    <row r="20" spans="1:60" x14ac:dyDescent="0.25">
      <c r="A20" s="5" t="s">
        <v>31</v>
      </c>
      <c r="B20" s="2">
        <v>0.51656761904761905</v>
      </c>
      <c r="C20" s="2">
        <v>0.51656761904761905</v>
      </c>
      <c r="D20" s="2">
        <v>0.51656761904761905</v>
      </c>
      <c r="E20" s="2">
        <v>0.51656761904761905</v>
      </c>
      <c r="F20" s="2">
        <v>0.51656761904761905</v>
      </c>
      <c r="G20" s="2">
        <v>0.51656761904761905</v>
      </c>
      <c r="H20" s="2">
        <v>0.51656761904761905</v>
      </c>
      <c r="I20" s="2">
        <v>0.51656761904761905</v>
      </c>
      <c r="J20" s="2">
        <v>0.51656761904761905</v>
      </c>
      <c r="K20" s="2">
        <v>0.51656761904761905</v>
      </c>
      <c r="L20" s="2">
        <v>0.51656761904761905</v>
      </c>
      <c r="M20" s="2">
        <v>0.51656761904761905</v>
      </c>
      <c r="N20" s="2">
        <v>0.51656761904761905</v>
      </c>
      <c r="O20" s="2">
        <v>0.51656761904761905</v>
      </c>
      <c r="P20" s="2">
        <v>0.51656761904761905</v>
      </c>
      <c r="Q20" s="2">
        <v>0.51656761904761905</v>
      </c>
      <c r="R20" s="2">
        <v>0.51656761904761905</v>
      </c>
      <c r="S20" s="2">
        <v>0.51656761904761905</v>
      </c>
      <c r="T20" s="2">
        <v>0.51656761904761905</v>
      </c>
      <c r="U20" s="2">
        <v>0.51656761904761905</v>
      </c>
      <c r="V20" s="2">
        <v>0.51656761904761905</v>
      </c>
      <c r="W20" s="2">
        <v>0.51656761904761905</v>
      </c>
      <c r="X20" s="2">
        <v>0.51656761904761905</v>
      </c>
      <c r="Y20" s="2">
        <v>0.51656761904761905</v>
      </c>
      <c r="Z20" s="2">
        <v>0.51656761904761905</v>
      </c>
      <c r="AA20" s="2">
        <v>0.51656761904761905</v>
      </c>
      <c r="AB20" s="2">
        <v>0.51656761904761905</v>
      </c>
      <c r="AC20" s="2">
        <v>0.51656761904761905</v>
      </c>
      <c r="AD20" s="2">
        <v>0.51656761904761905</v>
      </c>
      <c r="AE20" s="2">
        <v>0.51656761904761905</v>
      </c>
      <c r="AF20" s="2">
        <v>0.51656761904761905</v>
      </c>
      <c r="AG20" s="2">
        <v>0.51656761904761905</v>
      </c>
      <c r="AH20" s="2">
        <v>0.51656761904761905</v>
      </c>
      <c r="AI20" s="2">
        <v>0.51656761904761905</v>
      </c>
      <c r="AJ20" s="2">
        <v>0.51656761904761905</v>
      </c>
      <c r="AK20" s="2">
        <v>0.51656761904761905</v>
      </c>
      <c r="AL20" s="2">
        <v>0.51656761904761905</v>
      </c>
      <c r="AM20" s="2">
        <v>0.51656761904761905</v>
      </c>
      <c r="AN20" s="2">
        <v>0.51656761904761905</v>
      </c>
      <c r="AO20" s="2">
        <v>0.51656761904761905</v>
      </c>
      <c r="AP20" s="2">
        <v>0.51656761904761905</v>
      </c>
      <c r="AQ20" s="2">
        <v>0.51656761904761905</v>
      </c>
      <c r="AR20" s="2">
        <v>0.51656761904761905</v>
      </c>
      <c r="AS20" s="2">
        <v>0.51656761904761905</v>
      </c>
      <c r="AT20" s="2">
        <v>0.51656761904761905</v>
      </c>
      <c r="AU20" s="2">
        <v>0.51656761904761905</v>
      </c>
      <c r="AV20" s="2">
        <v>0.51656761904761905</v>
      </c>
      <c r="AW20" s="2">
        <v>0.51656761904761905</v>
      </c>
      <c r="AX20" s="2">
        <v>0.51656761904761905</v>
      </c>
      <c r="AY20" s="2">
        <v>0.51656761904761905</v>
      </c>
      <c r="AZ20" s="2">
        <v>0.51656761904761905</v>
      </c>
      <c r="BA20" s="2">
        <v>0.51656761904761905</v>
      </c>
      <c r="BB20" s="2">
        <v>0.51656761904761905</v>
      </c>
      <c r="BC20" s="2">
        <v>0.51656761904761905</v>
      </c>
      <c r="BD20" s="2">
        <v>0.51656761904761905</v>
      </c>
      <c r="BE20" s="2">
        <v>0.51656761904761905</v>
      </c>
      <c r="BF20" s="2">
        <v>0.51656761904761905</v>
      </c>
      <c r="BG20" s="2">
        <v>0.51656761904761905</v>
      </c>
      <c r="BH20" s="2">
        <v>0.51656761904761905</v>
      </c>
    </row>
    <row r="21" spans="1:60" x14ac:dyDescent="0.25">
      <c r="A21" s="5" t="s">
        <v>28</v>
      </c>
      <c r="B21" s="2">
        <v>0.5224605303030303</v>
      </c>
      <c r="C21" s="2">
        <v>0.5224605303030303</v>
      </c>
      <c r="D21" s="2">
        <v>0.5224605303030303</v>
      </c>
      <c r="E21" s="2">
        <v>0.5224605303030303</v>
      </c>
      <c r="F21" s="2">
        <v>0.5224605303030303</v>
      </c>
      <c r="G21" s="2">
        <v>0.5224605303030303</v>
      </c>
      <c r="H21" s="2">
        <v>0.5224605303030303</v>
      </c>
      <c r="I21" s="2">
        <v>0.5224605303030303</v>
      </c>
      <c r="J21" s="2">
        <v>0.5224605303030303</v>
      </c>
      <c r="K21" s="2">
        <v>0.5224605303030303</v>
      </c>
      <c r="L21" s="2">
        <v>0.5224605303030303</v>
      </c>
      <c r="M21" s="2">
        <v>0.5224605303030303</v>
      </c>
      <c r="N21" s="2">
        <v>0.5224605303030303</v>
      </c>
      <c r="O21" s="2">
        <v>0.5224605303030303</v>
      </c>
      <c r="P21" s="2">
        <v>0.5224605303030303</v>
      </c>
      <c r="Q21" s="2">
        <v>0.5224605303030303</v>
      </c>
      <c r="R21" s="2">
        <v>0.5224605303030303</v>
      </c>
      <c r="S21" s="2">
        <v>0.5224605303030303</v>
      </c>
      <c r="T21" s="2">
        <v>0.5224605303030303</v>
      </c>
      <c r="U21" s="2">
        <v>0.5224605303030303</v>
      </c>
      <c r="V21" s="2">
        <v>0.5224605303030303</v>
      </c>
      <c r="W21" s="2">
        <v>0.5224605303030303</v>
      </c>
      <c r="X21" s="2">
        <v>0.5224605303030303</v>
      </c>
      <c r="Y21" s="2">
        <v>0.5224605303030303</v>
      </c>
      <c r="Z21" s="2">
        <v>0.5224605303030303</v>
      </c>
      <c r="AA21" s="2">
        <v>0.5224605303030303</v>
      </c>
      <c r="AB21" s="2">
        <v>0.5224605303030303</v>
      </c>
      <c r="AC21" s="2">
        <v>0.5224605303030303</v>
      </c>
      <c r="AD21" s="2">
        <v>0.5224605303030303</v>
      </c>
      <c r="AE21" s="2">
        <v>0.5224605303030303</v>
      </c>
      <c r="AF21" s="2">
        <v>0.5224605303030303</v>
      </c>
      <c r="AG21" s="2">
        <v>0.5224605303030303</v>
      </c>
      <c r="AH21" s="2">
        <v>0.5224605303030303</v>
      </c>
      <c r="AI21" s="2">
        <v>0.5224605303030303</v>
      </c>
      <c r="AJ21" s="2">
        <v>0.5224605303030303</v>
      </c>
      <c r="AK21" s="2">
        <v>0.5224605303030303</v>
      </c>
      <c r="AL21" s="2">
        <v>0.5224605303030303</v>
      </c>
      <c r="AM21" s="2">
        <v>0.5224605303030303</v>
      </c>
      <c r="AN21" s="2">
        <v>0.5224605303030303</v>
      </c>
      <c r="AO21" s="2">
        <v>0.5224605303030303</v>
      </c>
      <c r="AP21" s="2">
        <v>0.5224605303030303</v>
      </c>
      <c r="AQ21" s="2">
        <v>0.5224605303030303</v>
      </c>
      <c r="AR21" s="2">
        <v>0.5224605303030303</v>
      </c>
      <c r="AS21" s="2">
        <v>0.5224605303030303</v>
      </c>
      <c r="AT21" s="2">
        <v>0.5224605303030303</v>
      </c>
      <c r="AU21" s="2">
        <v>0.5224605303030303</v>
      </c>
      <c r="AV21" s="2">
        <v>0.5224605303030303</v>
      </c>
      <c r="AW21" s="2">
        <v>0.5224605303030303</v>
      </c>
      <c r="AX21" s="2">
        <v>0.5224605303030303</v>
      </c>
      <c r="AY21" s="2">
        <v>0.5224605303030303</v>
      </c>
      <c r="AZ21" s="2">
        <v>0.5224605303030303</v>
      </c>
      <c r="BA21" s="2">
        <v>0.5224605303030303</v>
      </c>
      <c r="BB21" s="2">
        <v>0.5224605303030303</v>
      </c>
      <c r="BC21" s="2">
        <v>0.5224605303030303</v>
      </c>
      <c r="BD21" s="2">
        <v>0.5224605303030303</v>
      </c>
      <c r="BE21" s="2">
        <v>0.5224605303030303</v>
      </c>
      <c r="BF21" s="2">
        <v>0.5224605303030303</v>
      </c>
      <c r="BG21" s="2">
        <v>0.5224605303030303</v>
      </c>
      <c r="BH21" s="2">
        <v>0.5224605303030303</v>
      </c>
    </row>
    <row r="22" spans="1:60" x14ac:dyDescent="0.25">
      <c r="A22" s="5" t="s">
        <v>29</v>
      </c>
      <c r="B22" s="2">
        <v>0.54379660339660341</v>
      </c>
      <c r="C22" s="2">
        <v>0.54379660339660341</v>
      </c>
      <c r="D22" s="2">
        <v>0.54379660339660341</v>
      </c>
      <c r="E22" s="2">
        <v>0.54379660339660341</v>
      </c>
      <c r="F22" s="2">
        <v>0.54379660339660341</v>
      </c>
      <c r="G22" s="2">
        <v>0.54379660339660341</v>
      </c>
      <c r="H22" s="2">
        <v>0.54379660339660341</v>
      </c>
      <c r="I22" s="2">
        <v>0.54379660339660341</v>
      </c>
      <c r="J22" s="2">
        <v>0.54379660339660341</v>
      </c>
      <c r="K22" s="2">
        <v>0.54379660339660341</v>
      </c>
      <c r="L22" s="2">
        <v>0.54379660339660341</v>
      </c>
      <c r="M22" s="2">
        <v>0.54379660339660341</v>
      </c>
      <c r="N22" s="2">
        <v>0.54379660339660341</v>
      </c>
      <c r="O22" s="2">
        <v>0.54379660339660341</v>
      </c>
      <c r="P22" s="2">
        <v>0.54379660339660341</v>
      </c>
      <c r="Q22" s="2">
        <v>0.54379660339660341</v>
      </c>
      <c r="R22" s="2">
        <v>0.54379660339660341</v>
      </c>
      <c r="S22" s="2">
        <v>0.54379660339660341</v>
      </c>
      <c r="T22" s="2">
        <v>0.54379660339660341</v>
      </c>
      <c r="U22" s="2">
        <v>0.54379660339660341</v>
      </c>
      <c r="V22" s="2">
        <v>0.54379660339660341</v>
      </c>
      <c r="W22" s="2">
        <v>0.54379660339660341</v>
      </c>
      <c r="X22" s="2">
        <v>0.54379660339660341</v>
      </c>
      <c r="Y22" s="2">
        <v>0.54379660339660341</v>
      </c>
      <c r="Z22" s="2">
        <v>0.54379660339660341</v>
      </c>
      <c r="AA22" s="2">
        <v>0.54379660339660341</v>
      </c>
      <c r="AB22" s="2">
        <v>0.54379660339660341</v>
      </c>
      <c r="AC22" s="2">
        <v>0.54379660339660341</v>
      </c>
      <c r="AD22" s="2">
        <v>0.54379660339660341</v>
      </c>
      <c r="AE22" s="2">
        <v>0.54379660339660341</v>
      </c>
      <c r="AF22" s="2">
        <v>0.54379660339660341</v>
      </c>
      <c r="AG22" s="2">
        <v>0.54379660339660341</v>
      </c>
      <c r="AH22" s="2">
        <v>0.54379660339660341</v>
      </c>
      <c r="AI22" s="2">
        <v>0.54379660339660341</v>
      </c>
      <c r="AJ22" s="2">
        <v>0.54379660339660341</v>
      </c>
      <c r="AK22" s="2">
        <v>0.54379660339660341</v>
      </c>
      <c r="AL22" s="2">
        <v>0.54379660339660341</v>
      </c>
      <c r="AM22" s="2">
        <v>0.54379660339660341</v>
      </c>
      <c r="AN22" s="2">
        <v>0.54379660339660341</v>
      </c>
      <c r="AO22" s="2">
        <v>0.54379660339660341</v>
      </c>
      <c r="AP22" s="2">
        <v>0.54379660339660341</v>
      </c>
      <c r="AQ22" s="2">
        <v>0.54379660339660341</v>
      </c>
      <c r="AR22" s="2">
        <v>0.54379660339660341</v>
      </c>
      <c r="AS22" s="2">
        <v>0.54379660339660341</v>
      </c>
      <c r="AT22" s="2">
        <v>0.54379660339660341</v>
      </c>
      <c r="AU22" s="2">
        <v>0.54379660339660341</v>
      </c>
      <c r="AV22" s="2">
        <v>0.54379660339660341</v>
      </c>
      <c r="AW22" s="2">
        <v>0.54379660339660341</v>
      </c>
      <c r="AX22" s="2">
        <v>0.54379660339660341</v>
      </c>
      <c r="AY22" s="2">
        <v>0.54379660339660341</v>
      </c>
      <c r="AZ22" s="2">
        <v>0.54379660339660341</v>
      </c>
      <c r="BA22" s="2">
        <v>0.54379660339660341</v>
      </c>
      <c r="BB22" s="2">
        <v>0.54379660339660341</v>
      </c>
      <c r="BC22" s="2">
        <v>0.54379660339660341</v>
      </c>
      <c r="BD22" s="2">
        <v>0.54379660339660341</v>
      </c>
      <c r="BE22" s="2">
        <v>0.54379660339660341</v>
      </c>
      <c r="BF22" s="2">
        <v>0.54379660339660341</v>
      </c>
      <c r="BG22" s="2">
        <v>0.54379660339660341</v>
      </c>
      <c r="BH22" s="2">
        <v>0.54379660339660341</v>
      </c>
    </row>
    <row r="23" spans="1:60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0" x14ac:dyDescent="0.25">
      <c r="A24" s="13" t="s">
        <v>159</v>
      </c>
      <c r="B24" t="s">
        <v>98</v>
      </c>
    </row>
    <row r="25" spans="1:60" x14ac:dyDescent="0.25">
      <c r="A25" s="9" t="s">
        <v>32</v>
      </c>
      <c r="B25" s="4">
        <f>CORREL(B26:B29,B12:B15)</f>
        <v>-0.76998978501708903</v>
      </c>
      <c r="C25" s="4">
        <f>CORREL(C26:C29,C12:C15)</f>
        <v>-0.83946265739228543</v>
      </c>
      <c r="D25">
        <f>CORREL(D26:D29,D12:D15)</f>
        <v>-0.46639003168076365</v>
      </c>
      <c r="E25" s="4">
        <f>CORREL(E26:E29,E12:E15)</f>
        <v>-0.83635653634053742</v>
      </c>
      <c r="F25" s="4">
        <f>CORREL(F26:F29,F12:F15)</f>
        <v>-0.76041794799334306</v>
      </c>
      <c r="G25" s="4">
        <f>CORREL(G26:G29,G12:G15)</f>
        <v>-0.93269466970450254</v>
      </c>
      <c r="H25" s="4">
        <f>CORREL(H26:H29,H12:H15)</f>
        <v>0.92683367300534647</v>
      </c>
      <c r="I25" s="4">
        <f>CORREL(I26:I29,I12:I15)</f>
        <v>-0.78706618852905796</v>
      </c>
      <c r="J25">
        <f>CORREL(J26:J29,J12:J15)</f>
        <v>-0.57797324221609137</v>
      </c>
      <c r="K25">
        <f>CORREL(K26:K29,K12:K15)</f>
        <v>-1.678542016600381E-2</v>
      </c>
      <c r="L25" s="4">
        <f>CORREL(L26:L29,L12:L15)</f>
        <v>-0.71639988864768056</v>
      </c>
      <c r="M25">
        <f>CORREL(M26:M29,M12:M15)</f>
        <v>0.43169109617289853</v>
      </c>
      <c r="N25">
        <f>CORREL(N26:N29,N12:N15)</f>
        <v>0.21067581871515309</v>
      </c>
      <c r="O25">
        <f>CORREL(O26:O29,O12:O15)</f>
        <v>0.35854268814855333</v>
      </c>
      <c r="P25" s="4">
        <f>CORREL(P26:P29,P12:P15)</f>
        <v>0.8610255394351698</v>
      </c>
      <c r="Q25">
        <f>CORREL(Q26:Q29,Q12:Q15)</f>
        <v>0.55048470067774624</v>
      </c>
      <c r="R25">
        <f>CORREL(R26:R29,R12:R15)</f>
        <v>0.62715710424647175</v>
      </c>
      <c r="S25" s="4">
        <f>CORREL(S26:S29,S12:S15)</f>
        <v>-0.826402692495255</v>
      </c>
      <c r="T25" s="4">
        <f>CORREL(T26:T29,T12:T15)</f>
        <v>-0.70342564182666001</v>
      </c>
      <c r="U25">
        <f>CORREL(U26:U29,U12:U15)</f>
        <v>-0.67973041161607717</v>
      </c>
      <c r="V25" s="4">
        <f>CORREL(V26:V29,V12:V15)</f>
        <v>0.71570185512856965</v>
      </c>
      <c r="W25">
        <f>CORREL(W26:W29,W12:W15)</f>
        <v>0.45108217128307787</v>
      </c>
      <c r="X25" s="4">
        <f>CORREL(X26:X29,X12:X15)</f>
        <v>-0.75237269729227985</v>
      </c>
      <c r="Y25">
        <f>CORREL(Y26:Y29,Y12:Y15)</f>
        <v>0.17289636997019378</v>
      </c>
      <c r="Z25" s="4">
        <f>CORREL(Z26:Z29,Z12:Z15)</f>
        <v>-0.90034568551522842</v>
      </c>
      <c r="AA25">
        <f>CORREL(AA26:AA29,AA12:AA15)</f>
        <v>-0.31580022812724845</v>
      </c>
      <c r="AB25">
        <f>CORREL(AB26:AB29,AB12:AB15)</f>
        <v>0.16578437114142855</v>
      </c>
      <c r="AC25" s="4">
        <f>CORREL(AC26:AC29,AC12:AC15)</f>
        <v>-0.74737227432924147</v>
      </c>
      <c r="AD25">
        <f>CORREL(AD26:AD29,AD12:AD15)</f>
        <v>0.13144984765595016</v>
      </c>
      <c r="AE25">
        <f>CORREL(AE26:AE29,AE12:AE15)</f>
        <v>1.2992180114955182E-2</v>
      </c>
      <c r="AF25">
        <f>CORREL(AF26:AF29,AF12:AF15)</f>
        <v>-0.23048152562426166</v>
      </c>
      <c r="AG25">
        <f>CORREL(AG26:AG29,AG12:AG15)</f>
        <v>0.63641811007776261</v>
      </c>
      <c r="AH25">
        <f>CORREL(AH26:AH29,AH12:AH15)</f>
        <v>0.39250298193605065</v>
      </c>
      <c r="AI25">
        <f>CORREL(AI26:AI29,AI12:AI15)</f>
        <v>-5.1654754231760004E-2</v>
      </c>
      <c r="AJ25" s="4">
        <f>CORREL(AJ26:AJ29,AJ12:AJ15)</f>
        <v>-0.8606320933478051</v>
      </c>
      <c r="AK25">
        <f>CORREL(AK26:AK29,AK12:AK15)</f>
        <v>-0.54184760162337697</v>
      </c>
      <c r="AL25" s="4">
        <f>CORREL(AL26:AL29,AL12:AL15)</f>
        <v>0.86537889325854211</v>
      </c>
      <c r="AM25">
        <f>CORREL(AM26:AM29,AM12:AM15)</f>
        <v>-0.55891845676182395</v>
      </c>
      <c r="AN25" s="4">
        <f>CORREL(AN26:AN29,AN12:AN15)</f>
        <v>-0.87856190704351433</v>
      </c>
      <c r="AO25" s="4">
        <f>CORREL(AO26:AO29,AO12:AO15)</f>
        <v>-0.87869216969094066</v>
      </c>
      <c r="AP25" s="4">
        <f>CORREL(AP26:AP29,AP12:AP15)</f>
        <v>-0.70007827766371067</v>
      </c>
      <c r="AQ25" s="4">
        <f>CORREL(AQ26:AQ29,AQ12:AQ15)</f>
        <v>-0.66641906362382619</v>
      </c>
      <c r="AR25">
        <f>CORREL(AR26:AR29,AR12:AR15)</f>
        <v>0.34877017723346498</v>
      </c>
      <c r="AS25" s="4">
        <f>CORREL(AS26:AS29,AS12:AS15)</f>
        <v>0.81545861091570015</v>
      </c>
      <c r="AT25">
        <f>CORREL(AT26:AT29,AT12:AT15)</f>
        <v>0.534311584626739</v>
      </c>
      <c r="AU25" s="4">
        <f>CORREL(AU26:AU29,AU12:AU15)</f>
        <v>-0.76203961731831249</v>
      </c>
      <c r="AV25" s="4">
        <f>CORREL(AV26:AV29,AV12:AV15)</f>
        <v>0.88422808526331287</v>
      </c>
      <c r="AW25">
        <f>CORREL(AW26:AW29,AW12:AW15)</f>
        <v>2.1882484963181792E-2</v>
      </c>
      <c r="AX25">
        <f>CORREL(AX26:AX29,AX12:AX15)</f>
        <v>-9.1666866039619543E-2</v>
      </c>
      <c r="AY25">
        <f>CORREL(AY26:AY29,AY12:AY15)</f>
        <v>0.59813705621567026</v>
      </c>
      <c r="AZ25">
        <f>CORREL(AZ26:AZ29,AZ12:AZ15)</f>
        <v>-0.57181583652583579</v>
      </c>
      <c r="BA25">
        <f>CORREL(BA26:BA29,BA12:BA15)</f>
        <v>-0.32481361449269497</v>
      </c>
      <c r="BB25" s="4">
        <f>CORREL(BB26:BB29,BB12:BB15)</f>
        <v>-0.85826378536480497</v>
      </c>
      <c r="BC25">
        <f>CORREL(BC26:BC29,BC12:BC15)</f>
        <v>0.2735558954974317</v>
      </c>
      <c r="BD25" s="4">
        <f>CORREL(BD26:BD29,BD12:BD15)</f>
        <v>0.88893505332355116</v>
      </c>
      <c r="BE25" s="4">
        <f>CORREL(BE26:BE29,BE12:BE15)</f>
        <v>0.85843841875318982</v>
      </c>
      <c r="BF25">
        <f>CORREL(BF26:BF29,BF12:BF15)</f>
        <v>-0.57982492447411349</v>
      </c>
      <c r="BG25" s="4">
        <f>CORREL(BG26:BG29,BG12:BG15)</f>
        <v>0.95044269112366697</v>
      </c>
      <c r="BH25">
        <f>CORREL(BH26:BH29,BH12:BH15)</f>
        <v>-0.13210382510375543</v>
      </c>
    </row>
    <row r="26" spans="1:60" x14ac:dyDescent="0.25">
      <c r="A26" s="5" t="s">
        <v>30</v>
      </c>
      <c r="B26" s="2">
        <v>0.49465396969696968</v>
      </c>
      <c r="C26" s="2">
        <v>0.49465396969696968</v>
      </c>
      <c r="D26" s="2">
        <v>0.49465396969696968</v>
      </c>
      <c r="E26" s="2">
        <v>0.49465396969696968</v>
      </c>
      <c r="F26" s="2">
        <v>0.49465396969696968</v>
      </c>
      <c r="G26" s="2">
        <v>0.49465396969696968</v>
      </c>
      <c r="H26" s="2">
        <v>0.49465396969696968</v>
      </c>
      <c r="I26" s="2">
        <v>0.49465396969696968</v>
      </c>
      <c r="J26" s="2">
        <v>0.49465396969696968</v>
      </c>
      <c r="K26" s="2">
        <v>0.49465396969696968</v>
      </c>
      <c r="L26" s="2">
        <v>0.49465396969696968</v>
      </c>
      <c r="M26" s="2">
        <v>0.49465396969696968</v>
      </c>
      <c r="N26" s="2">
        <v>0.49465396969696968</v>
      </c>
      <c r="O26" s="2">
        <v>0.49465396969696968</v>
      </c>
      <c r="P26" s="2">
        <v>0.49465396969696968</v>
      </c>
      <c r="Q26" s="2">
        <v>0.49465396969696968</v>
      </c>
      <c r="R26" s="2">
        <v>0.49465396969696968</v>
      </c>
      <c r="S26" s="2">
        <v>0.49465396969696968</v>
      </c>
      <c r="T26" s="2">
        <v>0.49465396969696968</v>
      </c>
      <c r="U26" s="2">
        <v>0.49465396969696968</v>
      </c>
      <c r="V26" s="2">
        <v>0.49465396969696968</v>
      </c>
      <c r="W26" s="2">
        <v>0.49465396969696968</v>
      </c>
      <c r="X26" s="2">
        <v>0.49465396969696968</v>
      </c>
      <c r="Y26" s="2">
        <v>0.49465396969696968</v>
      </c>
      <c r="Z26" s="2">
        <v>0.49465396969696968</v>
      </c>
      <c r="AA26" s="2">
        <v>0.49465396969696968</v>
      </c>
      <c r="AB26" s="2">
        <v>0.49465396969696968</v>
      </c>
      <c r="AC26" s="2">
        <v>0.49465396969696968</v>
      </c>
      <c r="AD26" s="2">
        <v>0.49465396969696968</v>
      </c>
      <c r="AE26" s="2">
        <v>0.49465396969696968</v>
      </c>
      <c r="AF26" s="2">
        <v>0.49465396969696968</v>
      </c>
      <c r="AG26" s="2">
        <v>0.49465396969696968</v>
      </c>
      <c r="AH26" s="2">
        <v>0.49465396969696968</v>
      </c>
      <c r="AI26" s="2">
        <v>0.49465396969696968</v>
      </c>
      <c r="AJ26" s="2">
        <v>0.49465396969696968</v>
      </c>
      <c r="AK26" s="2">
        <v>0.49465396969696968</v>
      </c>
      <c r="AL26" s="2">
        <v>0.49465396969696968</v>
      </c>
      <c r="AM26" s="2">
        <v>0.49465396969696968</v>
      </c>
      <c r="AN26" s="2">
        <v>0.49465396969696968</v>
      </c>
      <c r="AO26" s="2">
        <v>0.49465396969696968</v>
      </c>
      <c r="AP26" s="2">
        <v>0.49465396969696968</v>
      </c>
      <c r="AQ26" s="2">
        <v>0.49465396969696968</v>
      </c>
      <c r="AR26" s="2">
        <v>0.49465396969696968</v>
      </c>
      <c r="AS26" s="2">
        <v>0.49465396969696968</v>
      </c>
      <c r="AT26" s="2">
        <v>0.49465396969696968</v>
      </c>
      <c r="AU26" s="2">
        <v>0.49465396969696968</v>
      </c>
      <c r="AV26" s="2">
        <v>0.49465396969696968</v>
      </c>
      <c r="AW26" s="2">
        <v>0.49465396969696968</v>
      </c>
      <c r="AX26" s="2">
        <v>0.49465396969696968</v>
      </c>
      <c r="AY26" s="2">
        <v>0.49465396969696968</v>
      </c>
      <c r="AZ26" s="2">
        <v>0.49465396969696968</v>
      </c>
      <c r="BA26" s="2">
        <v>0.49465396969696968</v>
      </c>
      <c r="BB26" s="2">
        <v>0.49465396969696968</v>
      </c>
      <c r="BC26" s="2">
        <v>0.49465396969696968</v>
      </c>
      <c r="BD26" s="2">
        <v>0.49465396969696968</v>
      </c>
      <c r="BE26" s="2">
        <v>0.49465396969696968</v>
      </c>
      <c r="BF26" s="2">
        <v>0.49465396969696968</v>
      </c>
      <c r="BG26" s="2">
        <v>0.49465396969696968</v>
      </c>
      <c r="BH26" s="2">
        <v>0.49465396969696968</v>
      </c>
    </row>
    <row r="27" spans="1:60" x14ac:dyDescent="0.25">
      <c r="A27" s="5" t="s">
        <v>31</v>
      </c>
      <c r="B27" s="2">
        <v>0.46423103030303037</v>
      </c>
      <c r="C27" s="2">
        <v>0.46423103030303037</v>
      </c>
      <c r="D27" s="2">
        <v>0.46423103030303037</v>
      </c>
      <c r="E27" s="2">
        <v>0.46423103030303037</v>
      </c>
      <c r="F27" s="2">
        <v>0.46423103030303037</v>
      </c>
      <c r="G27" s="2">
        <v>0.46423103030303037</v>
      </c>
      <c r="H27" s="2">
        <v>0.46423103030303037</v>
      </c>
      <c r="I27" s="2">
        <v>0.46423103030303037</v>
      </c>
      <c r="J27" s="2">
        <v>0.46423103030303037</v>
      </c>
      <c r="K27" s="2">
        <v>0.46423103030303037</v>
      </c>
      <c r="L27" s="2">
        <v>0.46423103030303037</v>
      </c>
      <c r="M27" s="2">
        <v>0.46423103030303037</v>
      </c>
      <c r="N27" s="2">
        <v>0.46423103030303037</v>
      </c>
      <c r="O27" s="2">
        <v>0.46423103030303037</v>
      </c>
      <c r="P27" s="2">
        <v>0.46423103030303037</v>
      </c>
      <c r="Q27" s="2">
        <v>0.46423103030303037</v>
      </c>
      <c r="R27" s="2">
        <v>0.46423103030303037</v>
      </c>
      <c r="S27" s="2">
        <v>0.46423103030303037</v>
      </c>
      <c r="T27" s="2">
        <v>0.46423103030303037</v>
      </c>
      <c r="U27" s="2">
        <v>0.46423103030303037</v>
      </c>
      <c r="V27" s="2">
        <v>0.46423103030303037</v>
      </c>
      <c r="W27" s="2">
        <v>0.46423103030303037</v>
      </c>
      <c r="X27" s="2">
        <v>0.46423103030303037</v>
      </c>
      <c r="Y27" s="2">
        <v>0.46423103030303037</v>
      </c>
      <c r="Z27" s="2">
        <v>0.46423103030303037</v>
      </c>
      <c r="AA27" s="2">
        <v>0.46423103030303037</v>
      </c>
      <c r="AB27" s="2">
        <v>0.46423103030303037</v>
      </c>
      <c r="AC27" s="2">
        <v>0.46423103030303037</v>
      </c>
      <c r="AD27" s="2">
        <v>0.46423103030303037</v>
      </c>
      <c r="AE27" s="2">
        <v>0.46423103030303037</v>
      </c>
      <c r="AF27" s="2">
        <v>0.46423103030303037</v>
      </c>
      <c r="AG27" s="2">
        <v>0.46423103030303037</v>
      </c>
      <c r="AH27" s="2">
        <v>0.46423103030303037</v>
      </c>
      <c r="AI27" s="2">
        <v>0.46423103030303037</v>
      </c>
      <c r="AJ27" s="2">
        <v>0.46423103030303037</v>
      </c>
      <c r="AK27" s="2">
        <v>0.46423103030303037</v>
      </c>
      <c r="AL27" s="2">
        <v>0.46423103030303037</v>
      </c>
      <c r="AM27" s="2">
        <v>0.46423103030303037</v>
      </c>
      <c r="AN27" s="2">
        <v>0.46423103030303037</v>
      </c>
      <c r="AO27" s="2">
        <v>0.46423103030303037</v>
      </c>
      <c r="AP27" s="2">
        <v>0.46423103030303037</v>
      </c>
      <c r="AQ27" s="2">
        <v>0.46423103030303037</v>
      </c>
      <c r="AR27" s="2">
        <v>0.46423103030303037</v>
      </c>
      <c r="AS27" s="2">
        <v>0.46423103030303037</v>
      </c>
      <c r="AT27" s="2">
        <v>0.46423103030303037</v>
      </c>
      <c r="AU27" s="2">
        <v>0.46423103030303037</v>
      </c>
      <c r="AV27" s="2">
        <v>0.46423103030303037</v>
      </c>
      <c r="AW27" s="2">
        <v>0.46423103030303037</v>
      </c>
      <c r="AX27" s="2">
        <v>0.46423103030303037</v>
      </c>
      <c r="AY27" s="2">
        <v>0.46423103030303037</v>
      </c>
      <c r="AZ27" s="2">
        <v>0.46423103030303037</v>
      </c>
      <c r="BA27" s="2">
        <v>0.46423103030303037</v>
      </c>
      <c r="BB27" s="2">
        <v>0.46423103030303037</v>
      </c>
      <c r="BC27" s="2">
        <v>0.46423103030303037</v>
      </c>
      <c r="BD27" s="2">
        <v>0.46423103030303037</v>
      </c>
      <c r="BE27" s="2">
        <v>0.46423103030303037</v>
      </c>
      <c r="BF27" s="2">
        <v>0.46423103030303037</v>
      </c>
      <c r="BG27" s="2">
        <v>0.46423103030303037</v>
      </c>
      <c r="BH27" s="2">
        <v>0.46423103030303037</v>
      </c>
    </row>
    <row r="28" spans="1:60" x14ac:dyDescent="0.25">
      <c r="A28" s="5" t="s">
        <v>28</v>
      </c>
      <c r="B28" s="2">
        <v>0.47922056798756801</v>
      </c>
      <c r="C28" s="2">
        <v>0.47922056798756801</v>
      </c>
      <c r="D28" s="2">
        <v>0.47922056798756801</v>
      </c>
      <c r="E28" s="2">
        <v>0.47922056798756801</v>
      </c>
      <c r="F28" s="2">
        <v>0.47922056798756801</v>
      </c>
      <c r="G28" s="2">
        <v>0.47922056798756801</v>
      </c>
      <c r="H28" s="2">
        <v>0.47922056798756801</v>
      </c>
      <c r="I28" s="2">
        <v>0.47922056798756801</v>
      </c>
      <c r="J28" s="2">
        <v>0.47922056798756801</v>
      </c>
      <c r="K28" s="2">
        <v>0.47922056798756801</v>
      </c>
      <c r="L28" s="2">
        <v>0.47922056798756801</v>
      </c>
      <c r="M28" s="2">
        <v>0.47922056798756801</v>
      </c>
      <c r="N28" s="2">
        <v>0.47922056798756801</v>
      </c>
      <c r="O28" s="2">
        <v>0.47922056798756801</v>
      </c>
      <c r="P28" s="2">
        <v>0.47922056798756801</v>
      </c>
      <c r="Q28" s="2">
        <v>0.47922056798756801</v>
      </c>
      <c r="R28" s="2">
        <v>0.47922056798756801</v>
      </c>
      <c r="S28" s="2">
        <v>0.47922056798756801</v>
      </c>
      <c r="T28" s="2">
        <v>0.47922056798756801</v>
      </c>
      <c r="U28" s="2">
        <v>0.47922056798756801</v>
      </c>
      <c r="V28" s="2">
        <v>0.47922056798756801</v>
      </c>
      <c r="W28" s="2">
        <v>0.47922056798756801</v>
      </c>
      <c r="X28" s="2">
        <v>0.47922056798756801</v>
      </c>
      <c r="Y28" s="2">
        <v>0.47922056798756801</v>
      </c>
      <c r="Z28" s="2">
        <v>0.47922056798756801</v>
      </c>
      <c r="AA28" s="2">
        <v>0.47922056798756801</v>
      </c>
      <c r="AB28" s="2">
        <v>0.47922056798756801</v>
      </c>
      <c r="AC28" s="2">
        <v>0.47922056798756801</v>
      </c>
      <c r="AD28" s="2">
        <v>0.47922056798756801</v>
      </c>
      <c r="AE28" s="2">
        <v>0.47922056798756801</v>
      </c>
      <c r="AF28" s="2">
        <v>0.47922056798756801</v>
      </c>
      <c r="AG28" s="2">
        <v>0.47922056798756801</v>
      </c>
      <c r="AH28" s="2">
        <v>0.47922056798756801</v>
      </c>
      <c r="AI28" s="2">
        <v>0.47922056798756801</v>
      </c>
      <c r="AJ28" s="2">
        <v>0.47922056798756801</v>
      </c>
      <c r="AK28" s="2">
        <v>0.47922056798756801</v>
      </c>
      <c r="AL28" s="2">
        <v>0.47922056798756801</v>
      </c>
      <c r="AM28" s="2">
        <v>0.47922056798756801</v>
      </c>
      <c r="AN28" s="2">
        <v>0.47922056798756801</v>
      </c>
      <c r="AO28" s="2">
        <v>0.47922056798756801</v>
      </c>
      <c r="AP28" s="2">
        <v>0.47922056798756801</v>
      </c>
      <c r="AQ28" s="2">
        <v>0.47922056798756801</v>
      </c>
      <c r="AR28" s="2">
        <v>0.47922056798756801</v>
      </c>
      <c r="AS28" s="2">
        <v>0.47922056798756801</v>
      </c>
      <c r="AT28" s="2">
        <v>0.47922056798756801</v>
      </c>
      <c r="AU28" s="2">
        <v>0.47922056798756801</v>
      </c>
      <c r="AV28" s="2">
        <v>0.47922056798756801</v>
      </c>
      <c r="AW28" s="2">
        <v>0.47922056798756801</v>
      </c>
      <c r="AX28" s="2">
        <v>0.47922056798756801</v>
      </c>
      <c r="AY28" s="2">
        <v>0.47922056798756801</v>
      </c>
      <c r="AZ28" s="2">
        <v>0.47922056798756801</v>
      </c>
      <c r="BA28" s="2">
        <v>0.47922056798756801</v>
      </c>
      <c r="BB28" s="2">
        <v>0.47922056798756801</v>
      </c>
      <c r="BC28" s="2">
        <v>0.47922056798756801</v>
      </c>
      <c r="BD28" s="2">
        <v>0.47922056798756801</v>
      </c>
      <c r="BE28" s="2">
        <v>0.47922056798756801</v>
      </c>
      <c r="BF28" s="2">
        <v>0.47922056798756801</v>
      </c>
      <c r="BG28" s="2">
        <v>0.47922056798756801</v>
      </c>
      <c r="BH28" s="2">
        <v>0.47922056798756801</v>
      </c>
    </row>
    <row r="29" spans="1:60" x14ac:dyDescent="0.25">
      <c r="A29" s="5" t="s">
        <v>29</v>
      </c>
      <c r="B29" s="2">
        <v>0.47435120370370371</v>
      </c>
      <c r="C29" s="2">
        <v>0.47435120370370371</v>
      </c>
      <c r="D29" s="2">
        <v>0.47435120370370371</v>
      </c>
      <c r="E29" s="2">
        <v>0.47435120370370371</v>
      </c>
      <c r="F29" s="2">
        <v>0.47435120370370371</v>
      </c>
      <c r="G29" s="2">
        <v>0.47435120370370371</v>
      </c>
      <c r="H29" s="2">
        <v>0.47435120370370371</v>
      </c>
      <c r="I29" s="2">
        <v>0.47435120370370371</v>
      </c>
      <c r="J29" s="2">
        <v>0.47435120370370371</v>
      </c>
      <c r="K29" s="2">
        <v>0.47435120370370371</v>
      </c>
      <c r="L29" s="2">
        <v>0.47435120370370371</v>
      </c>
      <c r="M29" s="2">
        <v>0.47435120370370371</v>
      </c>
      <c r="N29" s="2">
        <v>0.47435120370370371</v>
      </c>
      <c r="O29" s="2">
        <v>0.47435120370370371</v>
      </c>
      <c r="P29" s="2">
        <v>0.47435120370370371</v>
      </c>
      <c r="Q29" s="2">
        <v>0.47435120370370371</v>
      </c>
      <c r="R29" s="2">
        <v>0.47435120370370371</v>
      </c>
      <c r="S29" s="2">
        <v>0.47435120370370371</v>
      </c>
      <c r="T29" s="2">
        <v>0.47435120370370371</v>
      </c>
      <c r="U29" s="2">
        <v>0.47435120370370371</v>
      </c>
      <c r="V29" s="2">
        <v>0.47435120370370371</v>
      </c>
      <c r="W29" s="2">
        <v>0.47435120370370371</v>
      </c>
      <c r="X29" s="2">
        <v>0.47435120370370371</v>
      </c>
      <c r="Y29" s="2">
        <v>0.47435120370370371</v>
      </c>
      <c r="Z29" s="2">
        <v>0.47435120370370371</v>
      </c>
      <c r="AA29" s="2">
        <v>0.47435120370370371</v>
      </c>
      <c r="AB29" s="2">
        <v>0.47435120370370371</v>
      </c>
      <c r="AC29" s="2">
        <v>0.47435120370370371</v>
      </c>
      <c r="AD29" s="2">
        <v>0.47435120370370371</v>
      </c>
      <c r="AE29" s="2">
        <v>0.47435120370370371</v>
      </c>
      <c r="AF29" s="2">
        <v>0.47435120370370371</v>
      </c>
      <c r="AG29" s="2">
        <v>0.47435120370370371</v>
      </c>
      <c r="AH29" s="2">
        <v>0.47435120370370371</v>
      </c>
      <c r="AI29" s="2">
        <v>0.47435120370370371</v>
      </c>
      <c r="AJ29" s="2">
        <v>0.47435120370370371</v>
      </c>
      <c r="AK29" s="2">
        <v>0.47435120370370371</v>
      </c>
      <c r="AL29" s="2">
        <v>0.47435120370370371</v>
      </c>
      <c r="AM29" s="2">
        <v>0.47435120370370371</v>
      </c>
      <c r="AN29" s="2">
        <v>0.47435120370370371</v>
      </c>
      <c r="AO29" s="2">
        <v>0.47435120370370371</v>
      </c>
      <c r="AP29" s="2">
        <v>0.47435120370370371</v>
      </c>
      <c r="AQ29" s="2">
        <v>0.47435120370370371</v>
      </c>
      <c r="AR29" s="2">
        <v>0.47435120370370371</v>
      </c>
      <c r="AS29" s="2">
        <v>0.47435120370370371</v>
      </c>
      <c r="AT29" s="2">
        <v>0.47435120370370371</v>
      </c>
      <c r="AU29" s="2">
        <v>0.47435120370370371</v>
      </c>
      <c r="AV29" s="2">
        <v>0.47435120370370371</v>
      </c>
      <c r="AW29" s="2">
        <v>0.47435120370370371</v>
      </c>
      <c r="AX29" s="2">
        <v>0.47435120370370371</v>
      </c>
      <c r="AY29" s="2">
        <v>0.47435120370370371</v>
      </c>
      <c r="AZ29" s="2">
        <v>0.47435120370370371</v>
      </c>
      <c r="BA29" s="2">
        <v>0.47435120370370371</v>
      </c>
      <c r="BB29" s="2">
        <v>0.47435120370370371</v>
      </c>
      <c r="BC29" s="2">
        <v>0.47435120370370371</v>
      </c>
      <c r="BD29" s="2">
        <v>0.47435120370370371</v>
      </c>
      <c r="BE29" s="2">
        <v>0.47435120370370371</v>
      </c>
      <c r="BF29" s="2">
        <v>0.47435120370370371</v>
      </c>
      <c r="BG29" s="2">
        <v>0.47435120370370371</v>
      </c>
      <c r="BH29" s="2">
        <v>0.47435120370370371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F5B6-A2C1-44CF-8447-F0FCFB0EDAAB}">
  <dimension ref="A1:AF29"/>
  <sheetViews>
    <sheetView topLeftCell="A8" zoomScale="80" zoomScaleNormal="80" workbookViewId="0">
      <selection activeCell="C25" sqref="C25"/>
    </sheetView>
  </sheetViews>
  <sheetFormatPr defaultRowHeight="15" x14ac:dyDescent="0.25"/>
  <cols>
    <col min="1" max="1" width="14.140625" customWidth="1"/>
    <col min="2" max="2" width="10.28515625" customWidth="1"/>
    <col min="5" max="5" width="13.42578125" customWidth="1"/>
    <col min="6" max="6" width="11" customWidth="1"/>
    <col min="13" max="18" width="11.85546875" customWidth="1"/>
    <col min="19" max="19" width="12.85546875" customWidth="1"/>
    <col min="20" max="29" width="10.7109375" customWidth="1"/>
    <col min="30" max="30" width="10.140625" customWidth="1"/>
  </cols>
  <sheetData>
    <row r="1" spans="1:32" s="8" customFormat="1" x14ac:dyDescent="0.25">
      <c r="B1" s="8" t="s">
        <v>176</v>
      </c>
      <c r="C1" s="8" t="s">
        <v>177</v>
      </c>
      <c r="D1" s="8" t="s">
        <v>178</v>
      </c>
      <c r="E1" s="8" t="s">
        <v>179</v>
      </c>
      <c r="F1" s="8" t="s">
        <v>131</v>
      </c>
      <c r="G1" s="8" t="s">
        <v>132</v>
      </c>
      <c r="H1" s="8" t="s">
        <v>133</v>
      </c>
      <c r="I1" s="8" t="s">
        <v>134</v>
      </c>
      <c r="J1" s="8" t="s">
        <v>135</v>
      </c>
      <c r="K1" s="8" t="s">
        <v>136</v>
      </c>
      <c r="L1" s="8" t="s">
        <v>137</v>
      </c>
      <c r="M1" s="8" t="s">
        <v>138</v>
      </c>
      <c r="N1" s="8" t="s">
        <v>139</v>
      </c>
      <c r="O1" s="8" t="s">
        <v>140</v>
      </c>
      <c r="P1" s="8" t="s">
        <v>141</v>
      </c>
      <c r="Q1" s="8" t="s">
        <v>142</v>
      </c>
      <c r="R1" s="8" t="s">
        <v>143</v>
      </c>
      <c r="S1" s="8" t="s">
        <v>144</v>
      </c>
      <c r="T1" s="8" t="s">
        <v>145</v>
      </c>
      <c r="U1" s="8" t="s">
        <v>146</v>
      </c>
      <c r="V1" s="8" t="s">
        <v>147</v>
      </c>
      <c r="W1" s="8" t="s">
        <v>148</v>
      </c>
      <c r="X1" s="8" t="s">
        <v>149</v>
      </c>
      <c r="Y1" s="8" t="s">
        <v>150</v>
      </c>
      <c r="Z1" s="8" t="s">
        <v>151</v>
      </c>
      <c r="AA1" s="8" t="s">
        <v>152</v>
      </c>
      <c r="AB1" s="8" t="s">
        <v>153</v>
      </c>
      <c r="AC1" s="8" t="s">
        <v>154</v>
      </c>
      <c r="AD1" s="8" t="s">
        <v>155</v>
      </c>
    </row>
    <row r="2" spans="1:32" s="8" customFormat="1" x14ac:dyDescent="0.25">
      <c r="M2" s="8" t="s">
        <v>163</v>
      </c>
      <c r="N2" s="8" t="s">
        <v>162</v>
      </c>
      <c r="O2" s="8" t="s">
        <v>161</v>
      </c>
      <c r="P2" s="8" t="s">
        <v>160</v>
      </c>
      <c r="Q2" s="8" t="s">
        <v>164</v>
      </c>
      <c r="R2" s="8" t="s">
        <v>165</v>
      </c>
      <c r="T2" s="8" t="s">
        <v>167</v>
      </c>
      <c r="U2" s="8" t="s">
        <v>169</v>
      </c>
      <c r="V2" s="8" t="s">
        <v>168</v>
      </c>
      <c r="W2" s="8" t="s">
        <v>170</v>
      </c>
      <c r="X2" s="8" t="s">
        <v>175</v>
      </c>
      <c r="Y2" s="8" t="s">
        <v>174</v>
      </c>
      <c r="Z2" s="8" t="s">
        <v>173</v>
      </c>
      <c r="AA2" s="8" t="s">
        <v>172</v>
      </c>
      <c r="AB2" s="8" t="s">
        <v>171</v>
      </c>
      <c r="AC2" s="8" t="s">
        <v>166</v>
      </c>
    </row>
    <row r="4" spans="1:32" x14ac:dyDescent="0.25">
      <c r="A4" s="13" t="s">
        <v>157</v>
      </c>
      <c r="B4" t="s">
        <v>98</v>
      </c>
    </row>
    <row r="5" spans="1:32" x14ac:dyDescent="0.25">
      <c r="A5" s="9" t="s">
        <v>33</v>
      </c>
      <c r="B5">
        <f>CORREL(B12:B15,B6:B9)</f>
        <v>-0.43415670497976161</v>
      </c>
      <c r="C5" s="4">
        <f>CORREL(C12:C15,C6:C9)</f>
        <v>0.6709856678345284</v>
      </c>
      <c r="D5">
        <f t="shared" ref="D5:AF5" si="0">CORREL(D12:D15,D6:D9)</f>
        <v>-0.30451957694785919</v>
      </c>
      <c r="E5">
        <f t="shared" si="0"/>
        <v>-0.14615497050670384</v>
      </c>
      <c r="F5">
        <f t="shared" si="0"/>
        <v>0.35236838450017122</v>
      </c>
      <c r="G5">
        <f t="shared" si="0"/>
        <v>0.2184560823288495</v>
      </c>
      <c r="H5">
        <f t="shared" si="0"/>
        <v>0.49522535304440518</v>
      </c>
      <c r="I5">
        <f t="shared" si="0"/>
        <v>-9.8928724763568884E-2</v>
      </c>
      <c r="J5">
        <f t="shared" si="0"/>
        <v>0.11691147950941758</v>
      </c>
      <c r="K5">
        <f t="shared" si="0"/>
        <v>-0.52921854901373877</v>
      </c>
      <c r="L5" s="4">
        <f t="shared" si="0"/>
        <v>-0.73037085644544564</v>
      </c>
      <c r="M5">
        <f t="shared" si="0"/>
        <v>-0.31522944469143882</v>
      </c>
      <c r="N5">
        <f t="shared" si="0"/>
        <v>0.50753633140955889</v>
      </c>
      <c r="O5">
        <f t="shared" si="0"/>
        <v>-0.52220723827570437</v>
      </c>
      <c r="P5" s="4">
        <f t="shared" si="0"/>
        <v>-0.63336971007435217</v>
      </c>
      <c r="Q5" s="4">
        <f t="shared" si="0"/>
        <v>0.90440052084253941</v>
      </c>
      <c r="R5">
        <f t="shared" si="0"/>
        <v>0.11078885601546871</v>
      </c>
      <c r="S5">
        <f t="shared" si="0"/>
        <v>-0.29734784395464542</v>
      </c>
      <c r="T5" s="4">
        <f t="shared" si="0"/>
        <v>0.79056383862384061</v>
      </c>
      <c r="U5">
        <f t="shared" si="0"/>
        <v>-0.29549387088305351</v>
      </c>
      <c r="V5">
        <f t="shared" si="0"/>
        <v>-0.12674952709452417</v>
      </c>
      <c r="W5">
        <f t="shared" si="0"/>
        <v>-0.56095892587109319</v>
      </c>
      <c r="X5">
        <f t="shared" si="0"/>
        <v>0.16331002259846894</v>
      </c>
      <c r="Y5">
        <f t="shared" si="0"/>
        <v>-0.19312566801649297</v>
      </c>
      <c r="Z5">
        <f t="shared" si="0"/>
        <v>-0.59183089487598173</v>
      </c>
      <c r="AA5">
        <f t="shared" si="0"/>
        <v>-7.8639574912333643E-2</v>
      </c>
      <c r="AB5" s="4">
        <f t="shared" si="0"/>
        <v>0.7508308651491209</v>
      </c>
      <c r="AC5" s="4">
        <f t="shared" si="0"/>
        <v>-0.97604800113768186</v>
      </c>
      <c r="AD5" s="4">
        <f t="shared" si="0"/>
        <v>0.6072872101123169</v>
      </c>
      <c r="AE5">
        <f t="shared" si="0"/>
        <v>0.31034449412809317</v>
      </c>
      <c r="AF5">
        <f t="shared" si="0"/>
        <v>0.47824436304926488</v>
      </c>
    </row>
    <row r="6" spans="1:32" x14ac:dyDescent="0.25">
      <c r="A6" s="5" t="s">
        <v>30</v>
      </c>
      <c r="B6" s="2">
        <v>0.53989136363636359</v>
      </c>
      <c r="C6" s="2">
        <v>0.53989136363636359</v>
      </c>
      <c r="D6" s="2">
        <v>0.53989136363636359</v>
      </c>
      <c r="E6" s="2">
        <v>0.53989136363636359</v>
      </c>
      <c r="F6" s="2">
        <v>0.53989136363636359</v>
      </c>
      <c r="G6" s="2">
        <v>0.53989136363636359</v>
      </c>
      <c r="H6" s="2">
        <v>0.53989136363636359</v>
      </c>
      <c r="I6" s="2">
        <v>0.53989136363636359</v>
      </c>
      <c r="J6" s="2">
        <v>0.53989136363636359</v>
      </c>
      <c r="K6" s="2">
        <v>0.53989136363636359</v>
      </c>
      <c r="L6" s="2">
        <v>0.53989136363636359</v>
      </c>
      <c r="M6" s="2">
        <v>0.53989136363636359</v>
      </c>
      <c r="N6" s="2">
        <v>0.53989136363636359</v>
      </c>
      <c r="O6" s="2">
        <v>0.53989136363636359</v>
      </c>
      <c r="P6" s="2">
        <v>0.53989136363636359</v>
      </c>
      <c r="Q6" s="2">
        <v>0.53989136363636359</v>
      </c>
      <c r="R6" s="2">
        <v>0.53989136363636359</v>
      </c>
      <c r="S6" s="2">
        <v>0.53989136363636359</v>
      </c>
      <c r="T6" s="2">
        <v>0.53989136363636359</v>
      </c>
      <c r="U6" s="2">
        <v>0.53989136363636359</v>
      </c>
      <c r="V6" s="2">
        <v>0.53989136363636359</v>
      </c>
      <c r="W6" s="2">
        <v>0.53989136363636359</v>
      </c>
      <c r="X6" s="2">
        <v>0.53989136363636359</v>
      </c>
      <c r="Y6" s="2">
        <v>0.53989136363636359</v>
      </c>
      <c r="Z6" s="2">
        <v>0.53989136363636359</v>
      </c>
      <c r="AA6" s="2">
        <v>0.53989136363636359</v>
      </c>
      <c r="AB6" s="2">
        <v>0.53989136363636359</v>
      </c>
      <c r="AC6" s="2">
        <v>0.53989136363636359</v>
      </c>
      <c r="AD6" s="2">
        <v>0.53989136363636359</v>
      </c>
      <c r="AE6" s="2">
        <v>0.53989136363636359</v>
      </c>
      <c r="AF6" s="2">
        <v>0.53989136363636359</v>
      </c>
    </row>
    <row r="7" spans="1:32" x14ac:dyDescent="0.25">
      <c r="A7" s="5" t="s">
        <v>31</v>
      </c>
      <c r="B7" s="2">
        <v>0.53715657828282837</v>
      </c>
      <c r="C7" s="2">
        <v>0.53715657828282837</v>
      </c>
      <c r="D7" s="2">
        <v>0.53715657828282837</v>
      </c>
      <c r="E7" s="2">
        <v>0.53715657828282837</v>
      </c>
      <c r="F7" s="2">
        <v>0.53715657828282837</v>
      </c>
      <c r="G7" s="2">
        <v>0.53715657828282837</v>
      </c>
      <c r="H7" s="2">
        <v>0.53715657828282837</v>
      </c>
      <c r="I7" s="2">
        <v>0.53715657828282837</v>
      </c>
      <c r="J7" s="2">
        <v>0.53715657828282837</v>
      </c>
      <c r="K7" s="2">
        <v>0.53715657828282837</v>
      </c>
      <c r="L7" s="2">
        <v>0.53715657828282837</v>
      </c>
      <c r="M7" s="2">
        <v>0.53715657828282837</v>
      </c>
      <c r="N7" s="2">
        <v>0.53715657828282837</v>
      </c>
      <c r="O7" s="2">
        <v>0.53715657828282837</v>
      </c>
      <c r="P7" s="2">
        <v>0.53715657828282837</v>
      </c>
      <c r="Q7" s="2">
        <v>0.53715657828282837</v>
      </c>
      <c r="R7" s="2">
        <v>0.53715657828282837</v>
      </c>
      <c r="S7" s="2">
        <v>0.53715657828282837</v>
      </c>
      <c r="T7" s="2">
        <v>0.53715657828282837</v>
      </c>
      <c r="U7" s="2">
        <v>0.53715657828282837</v>
      </c>
      <c r="V7" s="2">
        <v>0.53715657828282837</v>
      </c>
      <c r="W7" s="2">
        <v>0.53715657828282837</v>
      </c>
      <c r="X7" s="2">
        <v>0.53715657828282837</v>
      </c>
      <c r="Y7" s="2">
        <v>0.53715657828282837</v>
      </c>
      <c r="Z7" s="2">
        <v>0.53715657828282837</v>
      </c>
      <c r="AA7" s="2">
        <v>0.53715657828282837</v>
      </c>
      <c r="AB7" s="2">
        <v>0.53715657828282837</v>
      </c>
      <c r="AC7" s="2">
        <v>0.53715657828282837</v>
      </c>
      <c r="AD7" s="2">
        <v>0.53715657828282837</v>
      </c>
      <c r="AE7" s="2">
        <v>0.53715657828282837</v>
      </c>
      <c r="AF7" s="2">
        <v>0.53715657828282837</v>
      </c>
    </row>
    <row r="8" spans="1:32" x14ac:dyDescent="0.25">
      <c r="A8" s="5" t="s">
        <v>28</v>
      </c>
      <c r="B8" s="2">
        <v>0.58901793447293438</v>
      </c>
      <c r="C8" s="2">
        <v>0.58901793447293438</v>
      </c>
      <c r="D8" s="2">
        <v>0.58901793447293438</v>
      </c>
      <c r="E8" s="2">
        <v>0.58901793447293438</v>
      </c>
      <c r="F8" s="2">
        <v>0.58901793447293438</v>
      </c>
      <c r="G8" s="2">
        <v>0.58901793447293438</v>
      </c>
      <c r="H8" s="2">
        <v>0.58901793447293438</v>
      </c>
      <c r="I8" s="2">
        <v>0.58901793447293438</v>
      </c>
      <c r="J8" s="2">
        <v>0.58901793447293438</v>
      </c>
      <c r="K8" s="2">
        <v>0.58901793447293438</v>
      </c>
      <c r="L8" s="2">
        <v>0.58901793447293438</v>
      </c>
      <c r="M8" s="2">
        <v>0.58901793447293438</v>
      </c>
      <c r="N8" s="2">
        <v>0.58901793447293438</v>
      </c>
      <c r="O8" s="2">
        <v>0.58901793447293438</v>
      </c>
      <c r="P8" s="2">
        <v>0.58901793447293438</v>
      </c>
      <c r="Q8" s="2">
        <v>0.58901793447293438</v>
      </c>
      <c r="R8" s="2">
        <v>0.58901793447293438</v>
      </c>
      <c r="S8" s="2">
        <v>0.58901793447293438</v>
      </c>
      <c r="T8" s="2">
        <v>0.58901793447293438</v>
      </c>
      <c r="U8" s="2">
        <v>0.58901793447293438</v>
      </c>
      <c r="V8" s="2">
        <v>0.58901793447293438</v>
      </c>
      <c r="W8" s="2">
        <v>0.58901793447293438</v>
      </c>
      <c r="X8" s="2">
        <v>0.58901793447293438</v>
      </c>
      <c r="Y8" s="2">
        <v>0.58901793447293438</v>
      </c>
      <c r="Z8" s="2">
        <v>0.58901793447293438</v>
      </c>
      <c r="AA8" s="2">
        <v>0.58901793447293438</v>
      </c>
      <c r="AB8" s="2">
        <v>0.58901793447293438</v>
      </c>
      <c r="AC8" s="2">
        <v>0.58901793447293438</v>
      </c>
      <c r="AD8" s="2">
        <v>0.58901793447293438</v>
      </c>
      <c r="AE8" s="2">
        <v>0.58901793447293438</v>
      </c>
      <c r="AF8" s="2">
        <v>0.58901793447293438</v>
      </c>
    </row>
    <row r="9" spans="1:32" x14ac:dyDescent="0.25">
      <c r="A9" s="5" t="s">
        <v>29</v>
      </c>
      <c r="B9" s="2">
        <v>0.54585540404040411</v>
      </c>
      <c r="C9" s="2">
        <v>0.54585540404040411</v>
      </c>
      <c r="D9" s="2">
        <v>0.54585540404040411</v>
      </c>
      <c r="E9" s="2">
        <v>0.54585540404040411</v>
      </c>
      <c r="F9" s="2">
        <v>0.54585540404040411</v>
      </c>
      <c r="G9" s="2">
        <v>0.54585540404040411</v>
      </c>
      <c r="H9" s="2">
        <v>0.54585540404040411</v>
      </c>
      <c r="I9" s="2">
        <v>0.54585540404040411</v>
      </c>
      <c r="J9" s="2">
        <v>0.54585540404040411</v>
      </c>
      <c r="K9" s="2">
        <v>0.54585540404040411</v>
      </c>
      <c r="L9" s="2">
        <v>0.54585540404040411</v>
      </c>
      <c r="M9" s="2">
        <v>0.54585540404040411</v>
      </c>
      <c r="N9" s="2">
        <v>0.54585540404040411</v>
      </c>
      <c r="O9" s="2">
        <v>0.54585540404040411</v>
      </c>
      <c r="P9" s="2">
        <v>0.54585540404040411</v>
      </c>
      <c r="Q9" s="2">
        <v>0.54585540404040411</v>
      </c>
      <c r="R9" s="2">
        <v>0.54585540404040411</v>
      </c>
      <c r="S9" s="2">
        <v>0.54585540404040411</v>
      </c>
      <c r="T9" s="2">
        <v>0.54585540404040411</v>
      </c>
      <c r="U9" s="2">
        <v>0.54585540404040411</v>
      </c>
      <c r="V9" s="2">
        <v>0.54585540404040411</v>
      </c>
      <c r="W9" s="2">
        <v>0.54585540404040411</v>
      </c>
      <c r="X9" s="2">
        <v>0.54585540404040411</v>
      </c>
      <c r="Y9" s="2">
        <v>0.54585540404040411</v>
      </c>
      <c r="Z9" s="2">
        <v>0.54585540404040411</v>
      </c>
      <c r="AA9" s="2">
        <v>0.54585540404040411</v>
      </c>
      <c r="AB9" s="2">
        <v>0.54585540404040411</v>
      </c>
      <c r="AC9" s="2">
        <v>0.54585540404040411</v>
      </c>
      <c r="AD9" s="2">
        <v>0.54585540404040411</v>
      </c>
      <c r="AE9" s="2">
        <v>0.54585540404040411</v>
      </c>
      <c r="AF9" s="2">
        <v>0.54585540404040411</v>
      </c>
    </row>
    <row r="11" spans="1:32" x14ac:dyDescent="0.25">
      <c r="A11" s="9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  <c r="P11" t="s">
        <v>53</v>
      </c>
      <c r="Q11" t="s">
        <v>54</v>
      </c>
      <c r="R11" t="s">
        <v>55</v>
      </c>
      <c r="S11" t="s">
        <v>56</v>
      </c>
      <c r="T11" t="s">
        <v>57</v>
      </c>
      <c r="U11" t="s">
        <v>58</v>
      </c>
      <c r="V11" t="s">
        <v>59</v>
      </c>
      <c r="W11" t="s">
        <v>60</v>
      </c>
      <c r="X11" t="s">
        <v>61</v>
      </c>
      <c r="Y11" t="s">
        <v>62</v>
      </c>
      <c r="Z11" t="s">
        <v>63</v>
      </c>
      <c r="AA11" t="s">
        <v>64</v>
      </c>
      <c r="AB11" t="s">
        <v>65</v>
      </c>
      <c r="AC11" t="s">
        <v>66</v>
      </c>
      <c r="AD11" t="s">
        <v>67</v>
      </c>
      <c r="AE11" t="s">
        <v>68</v>
      </c>
      <c r="AF11" t="s">
        <v>69</v>
      </c>
    </row>
    <row r="12" spans="1:32" x14ac:dyDescent="0.25">
      <c r="B12">
        <v>4</v>
      </c>
      <c r="C12">
        <v>1800</v>
      </c>
      <c r="D12">
        <v>22500</v>
      </c>
      <c r="E12">
        <v>92</v>
      </c>
      <c r="F12" s="10">
        <v>-1.6087510073035999E-6</v>
      </c>
      <c r="G12">
        <v>16702.699000000001</v>
      </c>
      <c r="H12">
        <v>10283.8769328575</v>
      </c>
      <c r="I12">
        <v>5365.8928793302102</v>
      </c>
      <c r="J12">
        <v>1.8767623195783101</v>
      </c>
      <c r="K12">
        <v>0.99793731212102299</v>
      </c>
      <c r="L12">
        <v>0.96819268692901705</v>
      </c>
      <c r="M12">
        <v>1.14134995727317</v>
      </c>
      <c r="N12">
        <v>5.6440251093930701E-4</v>
      </c>
      <c r="O12">
        <v>0.75123403005262401</v>
      </c>
      <c r="P12">
        <v>0.63644120029828599</v>
      </c>
      <c r="Q12">
        <v>0.84247375489082499</v>
      </c>
      <c r="R12">
        <v>0.42010296996472002</v>
      </c>
      <c r="S12">
        <v>0.182534027124923</v>
      </c>
      <c r="T12">
        <v>0.105042123929085</v>
      </c>
      <c r="U12">
        <v>17.514213926174499</v>
      </c>
      <c r="V12">
        <v>2637.5639999999999</v>
      </c>
      <c r="W12">
        <v>2883.5349999999999</v>
      </c>
      <c r="X12">
        <v>5812.1040000000003</v>
      </c>
      <c r="Y12">
        <v>12673.540999999999</v>
      </c>
      <c r="Z12">
        <v>37727.750999999997</v>
      </c>
      <c r="AA12">
        <v>156754.492</v>
      </c>
      <c r="AB12">
        <v>419665.42300000001</v>
      </c>
      <c r="AC12">
        <v>885156.86000000499</v>
      </c>
      <c r="AD12">
        <v>1791353.0430000001</v>
      </c>
      <c r="AE12">
        <v>755352.29599999799</v>
      </c>
      <c r="AF12">
        <v>0.96842087296324697</v>
      </c>
    </row>
    <row r="13" spans="1:32" x14ac:dyDescent="0.25">
      <c r="B13">
        <v>6</v>
      </c>
      <c r="C13">
        <v>800</v>
      </c>
      <c r="D13">
        <v>26000</v>
      </c>
      <c r="E13">
        <v>93</v>
      </c>
      <c r="F13" s="10">
        <v>-2.9304254252120699E-5</v>
      </c>
      <c r="G13">
        <v>17028.726999999999</v>
      </c>
      <c r="H13">
        <v>10481.831611006</v>
      </c>
      <c r="I13">
        <v>5466.5458662670599</v>
      </c>
      <c r="J13">
        <v>1.8352151196363999</v>
      </c>
      <c r="K13">
        <v>0.99820909056207696</v>
      </c>
      <c r="L13">
        <v>0.97119631285125796</v>
      </c>
      <c r="M13">
        <v>1.1235502118638101</v>
      </c>
      <c r="N13">
        <v>1.0003176807247499E-3</v>
      </c>
      <c r="O13">
        <v>0.82552115389692604</v>
      </c>
      <c r="P13">
        <v>0.99014325774517398</v>
      </c>
      <c r="Q13">
        <v>0.68736343777715503</v>
      </c>
      <c r="R13">
        <v>0.373995391141353</v>
      </c>
      <c r="S13">
        <v>0.222394584118767</v>
      </c>
      <c r="T13">
        <v>9.1188166279607699E-2</v>
      </c>
      <c r="U13">
        <v>20.26933789365</v>
      </c>
      <c r="V13">
        <v>3457.8040000000001</v>
      </c>
      <c r="W13">
        <v>3256.4160000000002</v>
      </c>
      <c r="X13">
        <v>5431.2329999999902</v>
      </c>
      <c r="Y13">
        <v>11240.933000000001</v>
      </c>
      <c r="Z13">
        <v>45671.42</v>
      </c>
      <c r="AA13">
        <v>163495.41099999999</v>
      </c>
      <c r="AB13">
        <v>414645.54600000102</v>
      </c>
      <c r="AC13">
        <v>885495.56200000201</v>
      </c>
      <c r="AD13">
        <v>1796889.754</v>
      </c>
      <c r="AE13">
        <v>858092.761999993</v>
      </c>
      <c r="AF13">
        <v>0.97205348968821004</v>
      </c>
    </row>
    <row r="14" spans="1:32" x14ac:dyDescent="0.25">
      <c r="B14">
        <v>4</v>
      </c>
      <c r="C14">
        <v>2000</v>
      </c>
      <c r="D14">
        <v>23000</v>
      </c>
      <c r="E14">
        <v>92</v>
      </c>
      <c r="F14" s="10">
        <v>-1.6756091969368599E-6</v>
      </c>
      <c r="G14">
        <v>16996.763999999999</v>
      </c>
      <c r="H14">
        <v>10501.534322276901</v>
      </c>
      <c r="I14">
        <v>5419.6842064244502</v>
      </c>
      <c r="J14">
        <v>1.85503583322184</v>
      </c>
      <c r="K14">
        <v>0.99793225316484102</v>
      </c>
      <c r="L14">
        <v>0.96655510511690101</v>
      </c>
      <c r="M14">
        <v>1.12764966462978</v>
      </c>
      <c r="N14">
        <v>1.04470130854327E-3</v>
      </c>
      <c r="O14">
        <v>0.69492170849044899</v>
      </c>
      <c r="P14">
        <v>0.56905970095762004</v>
      </c>
      <c r="Q14">
        <v>1.0295200777134199</v>
      </c>
      <c r="R14">
        <v>0.43405364205060698</v>
      </c>
      <c r="S14">
        <v>0.182619024474903</v>
      </c>
      <c r="T14">
        <v>0.12866462180788599</v>
      </c>
      <c r="U14">
        <v>18.298714248838401</v>
      </c>
      <c r="V14">
        <v>2953.4839999999999</v>
      </c>
      <c r="W14">
        <v>2885.35</v>
      </c>
      <c r="X14">
        <v>5687.5240000000103</v>
      </c>
      <c r="Y14">
        <v>11284.682000000001</v>
      </c>
      <c r="Z14">
        <v>35960.057000000001</v>
      </c>
      <c r="AA14">
        <v>157741.538</v>
      </c>
      <c r="AB14">
        <v>423962.37900000002</v>
      </c>
      <c r="AC14">
        <v>875371.23600000702</v>
      </c>
      <c r="AD14">
        <v>1835191.12500001</v>
      </c>
      <c r="AE14">
        <v>847152.94499999599</v>
      </c>
      <c r="AF14">
        <v>0.97350727734008002</v>
      </c>
    </row>
    <row r="15" spans="1:32" x14ac:dyDescent="0.25">
      <c r="B15">
        <v>4</v>
      </c>
      <c r="C15">
        <v>1400</v>
      </c>
      <c r="D15">
        <v>22500</v>
      </c>
      <c r="E15">
        <v>91</v>
      </c>
      <c r="F15" s="10">
        <v>4.7615313407564502E-6</v>
      </c>
      <c r="G15">
        <v>17084.241999999998</v>
      </c>
      <c r="H15">
        <v>10444.1199644757</v>
      </c>
      <c r="I15">
        <v>5461.7127720918797</v>
      </c>
      <c r="J15">
        <v>1.8355476520140801</v>
      </c>
      <c r="K15">
        <v>0.99800976719115597</v>
      </c>
      <c r="L15">
        <v>0.967882452663965</v>
      </c>
      <c r="M15">
        <v>1.14345579866469</v>
      </c>
      <c r="N15">
        <v>8.9795512315956499E-4</v>
      </c>
      <c r="O15">
        <v>0.670049322913433</v>
      </c>
      <c r="P15">
        <v>0.70907521188436495</v>
      </c>
      <c r="Q15">
        <v>0.74441846412766599</v>
      </c>
      <c r="R15">
        <v>0.52261076463620904</v>
      </c>
      <c r="S15">
        <v>0.16671658659198099</v>
      </c>
      <c r="T15">
        <v>0.120610504229422</v>
      </c>
      <c r="U15">
        <v>18.8782096992772</v>
      </c>
      <c r="V15">
        <v>2862.9780000000001</v>
      </c>
      <c r="W15">
        <v>3125.835</v>
      </c>
      <c r="X15">
        <v>5748.7579999999998</v>
      </c>
      <c r="Y15">
        <v>10573.804</v>
      </c>
      <c r="Z15">
        <v>37577.425000000003</v>
      </c>
      <c r="AA15">
        <v>150919.43299999999</v>
      </c>
      <c r="AB15">
        <v>421851.35600000003</v>
      </c>
      <c r="AC15">
        <v>881802.48999999801</v>
      </c>
      <c r="AD15">
        <v>1729761.679</v>
      </c>
      <c r="AE15">
        <v>841399.60799999803</v>
      </c>
      <c r="AF15">
        <v>0.96285014176195804</v>
      </c>
    </row>
    <row r="17" spans="1:32" x14ac:dyDescent="0.25">
      <c r="A17" s="13" t="s">
        <v>158</v>
      </c>
      <c r="B17" t="s">
        <v>98</v>
      </c>
    </row>
    <row r="18" spans="1:32" x14ac:dyDescent="0.25">
      <c r="A18" s="9" t="s">
        <v>34</v>
      </c>
      <c r="B18" s="4">
        <f>CORREL(B19:B22,B12:B15)</f>
        <v>0.84044549483872599</v>
      </c>
      <c r="C18" s="4">
        <f t="shared" ref="C18:AF18" si="1">CORREL(C19:C22,C12:C15)</f>
        <v>-0.79033769963822809</v>
      </c>
      <c r="D18" s="4">
        <f t="shared" si="1"/>
        <v>0.77238419995068175</v>
      </c>
      <c r="E18" s="4">
        <f t="shared" si="1"/>
        <v>0.72985533934733138</v>
      </c>
      <c r="F18" s="4">
        <f t="shared" si="1"/>
        <v>-0.83775032525112758</v>
      </c>
      <c r="G18">
        <f t="shared" si="1"/>
        <v>-0.17801132454061006</v>
      </c>
      <c r="H18">
        <f t="shared" si="1"/>
        <v>-0.19478808161205494</v>
      </c>
      <c r="I18">
        <f t="shared" si="1"/>
        <v>0.15198493674216779</v>
      </c>
      <c r="J18">
        <f t="shared" si="1"/>
        <v>-0.14203059750356861</v>
      </c>
      <c r="K18" s="4">
        <f t="shared" si="1"/>
        <v>0.79640021159853169</v>
      </c>
      <c r="L18" s="4">
        <f t="shared" si="1"/>
        <v>0.95712228961389756</v>
      </c>
      <c r="M18">
        <f t="shared" si="1"/>
        <v>-0.32114956862542182</v>
      </c>
      <c r="N18">
        <f t="shared" si="1"/>
        <v>-0.18125512545688319</v>
      </c>
      <c r="O18" s="4">
        <f t="shared" si="1"/>
        <v>0.93775615645686816</v>
      </c>
      <c r="P18" s="4">
        <f t="shared" si="1"/>
        <v>0.85861902707823512</v>
      </c>
      <c r="Q18" s="4">
        <f t="shared" si="1"/>
        <v>-0.74493653222951417</v>
      </c>
      <c r="R18" s="4">
        <f t="shared" si="1"/>
        <v>-0.67807176263633029</v>
      </c>
      <c r="S18" s="4">
        <f t="shared" si="1"/>
        <v>0.82074825961649744</v>
      </c>
      <c r="T18" s="4">
        <f t="shared" si="1"/>
        <v>-0.99810265506224882</v>
      </c>
      <c r="U18">
        <f t="shared" si="1"/>
        <v>0.55935923392144571</v>
      </c>
      <c r="V18">
        <f t="shared" si="1"/>
        <v>0.56944793554717843</v>
      </c>
      <c r="W18">
        <f t="shared" si="1"/>
        <v>0.61379787440398748</v>
      </c>
      <c r="X18">
        <f t="shared" si="1"/>
        <v>-0.63693950470762561</v>
      </c>
      <c r="Y18">
        <f t="shared" si="1"/>
        <v>0.27309687783338327</v>
      </c>
      <c r="Z18" s="4">
        <f t="shared" si="1"/>
        <v>0.90892381438840442</v>
      </c>
      <c r="AA18" s="4">
        <f t="shared" si="1"/>
        <v>0.68369641216603561</v>
      </c>
      <c r="AB18" s="4">
        <f t="shared" si="1"/>
        <v>-0.99101972648172376</v>
      </c>
      <c r="AC18" s="4">
        <f t="shared" si="1"/>
        <v>0.86708032786689049</v>
      </c>
      <c r="AD18">
        <f t="shared" si="1"/>
        <v>-4.1601684959447778E-2</v>
      </c>
      <c r="AE18">
        <f t="shared" si="1"/>
        <v>-6.9356032907644638E-2</v>
      </c>
      <c r="AF18">
        <f t="shared" si="1"/>
        <v>0.16200828590710772</v>
      </c>
    </row>
    <row r="19" spans="1:32" x14ac:dyDescent="0.25">
      <c r="A19" s="5" t="s">
        <v>30</v>
      </c>
      <c r="B19" s="2">
        <v>0.59700886816886811</v>
      </c>
      <c r="C19" s="2">
        <v>0.59700886816886811</v>
      </c>
      <c r="D19" s="2">
        <v>0.59700886816886811</v>
      </c>
      <c r="E19" s="2">
        <v>0.59700886816886811</v>
      </c>
      <c r="F19" s="2">
        <v>0.59700886816886811</v>
      </c>
      <c r="G19" s="2">
        <v>0.59700886816886811</v>
      </c>
      <c r="H19" s="2">
        <v>0.59700886816886811</v>
      </c>
      <c r="I19" s="2">
        <v>0.59700886816886811</v>
      </c>
      <c r="J19" s="2">
        <v>0.59700886816886811</v>
      </c>
      <c r="K19" s="2">
        <v>0.59700886816886811</v>
      </c>
      <c r="L19" s="2">
        <v>0.59700886816886811</v>
      </c>
      <c r="M19" s="2">
        <v>0.59700886816886811</v>
      </c>
      <c r="N19" s="2">
        <v>0.59700886816886811</v>
      </c>
      <c r="O19" s="2">
        <v>0.59700886816886811</v>
      </c>
      <c r="P19" s="2">
        <v>0.59700886816886811</v>
      </c>
      <c r="Q19" s="2">
        <v>0.59700886816886811</v>
      </c>
      <c r="R19" s="2">
        <v>0.59700886816886811</v>
      </c>
      <c r="S19" s="2">
        <v>0.59700886816886811</v>
      </c>
      <c r="T19" s="2">
        <v>0.59700886816886811</v>
      </c>
      <c r="U19" s="2">
        <v>0.59700886816886811</v>
      </c>
      <c r="V19" s="2">
        <v>0.59700886816886811</v>
      </c>
      <c r="W19" s="2">
        <v>0.59700886816886811</v>
      </c>
      <c r="X19" s="2">
        <v>0.59700886816886811</v>
      </c>
      <c r="Y19" s="2">
        <v>0.59700886816886811</v>
      </c>
      <c r="Z19" s="2">
        <v>0.59700886816886811</v>
      </c>
      <c r="AA19" s="2">
        <v>0.59700886816886811</v>
      </c>
      <c r="AB19" s="2">
        <v>0.59700886816886811</v>
      </c>
      <c r="AC19" s="2">
        <v>0.59700886816886811</v>
      </c>
      <c r="AD19" s="2">
        <v>0.59700886816886811</v>
      </c>
      <c r="AE19" s="2">
        <v>0.59700886816886811</v>
      </c>
      <c r="AF19" s="2">
        <v>0.59700886816886811</v>
      </c>
    </row>
    <row r="20" spans="1:32" x14ac:dyDescent="0.25">
      <c r="A20" s="5" t="s">
        <v>31</v>
      </c>
      <c r="B20" s="2">
        <v>0.63326022222222222</v>
      </c>
      <c r="C20" s="2">
        <v>0.63326022222222222</v>
      </c>
      <c r="D20" s="2">
        <v>0.63326022222222222</v>
      </c>
      <c r="E20" s="2">
        <v>0.63326022222222222</v>
      </c>
      <c r="F20" s="2">
        <v>0.63326022222222222</v>
      </c>
      <c r="G20" s="2">
        <v>0.63326022222222222</v>
      </c>
      <c r="H20" s="2">
        <v>0.63326022222222222</v>
      </c>
      <c r="I20" s="2">
        <v>0.63326022222222222</v>
      </c>
      <c r="J20" s="2">
        <v>0.63326022222222222</v>
      </c>
      <c r="K20" s="2">
        <v>0.63326022222222222</v>
      </c>
      <c r="L20" s="2">
        <v>0.63326022222222222</v>
      </c>
      <c r="M20" s="2">
        <v>0.63326022222222222</v>
      </c>
      <c r="N20" s="2">
        <v>0.63326022222222222</v>
      </c>
      <c r="O20" s="2">
        <v>0.63326022222222222</v>
      </c>
      <c r="P20" s="2">
        <v>0.63326022222222222</v>
      </c>
      <c r="Q20" s="2">
        <v>0.63326022222222222</v>
      </c>
      <c r="R20" s="2">
        <v>0.63326022222222222</v>
      </c>
      <c r="S20" s="2">
        <v>0.63326022222222222</v>
      </c>
      <c r="T20" s="2">
        <v>0.63326022222222222</v>
      </c>
      <c r="U20" s="2">
        <v>0.63326022222222222</v>
      </c>
      <c r="V20" s="2">
        <v>0.63326022222222222</v>
      </c>
      <c r="W20" s="2">
        <v>0.63326022222222222</v>
      </c>
      <c r="X20" s="2">
        <v>0.63326022222222222</v>
      </c>
      <c r="Y20" s="2">
        <v>0.63326022222222222</v>
      </c>
      <c r="Z20" s="2">
        <v>0.63326022222222222</v>
      </c>
      <c r="AA20" s="2">
        <v>0.63326022222222222</v>
      </c>
      <c r="AB20" s="2">
        <v>0.63326022222222222</v>
      </c>
      <c r="AC20" s="2">
        <v>0.63326022222222222</v>
      </c>
      <c r="AD20" s="2">
        <v>0.63326022222222222</v>
      </c>
      <c r="AE20" s="2">
        <v>0.63326022222222222</v>
      </c>
      <c r="AF20" s="2">
        <v>0.63326022222222222</v>
      </c>
    </row>
    <row r="21" spans="1:32" x14ac:dyDescent="0.25">
      <c r="A21" s="5" t="s">
        <v>28</v>
      </c>
      <c r="B21" s="2">
        <v>0.54789931818181825</v>
      </c>
      <c r="C21" s="2">
        <v>0.54789931818181825</v>
      </c>
      <c r="D21" s="2">
        <v>0.54789931818181825</v>
      </c>
      <c r="E21" s="2">
        <v>0.54789931818181825</v>
      </c>
      <c r="F21" s="2">
        <v>0.54789931818181825</v>
      </c>
      <c r="G21" s="2">
        <v>0.54789931818181825</v>
      </c>
      <c r="H21" s="2">
        <v>0.54789931818181825</v>
      </c>
      <c r="I21" s="2">
        <v>0.54789931818181825</v>
      </c>
      <c r="J21" s="2">
        <v>0.54789931818181825</v>
      </c>
      <c r="K21" s="2">
        <v>0.54789931818181825</v>
      </c>
      <c r="L21" s="2">
        <v>0.54789931818181825</v>
      </c>
      <c r="M21" s="2">
        <v>0.54789931818181825</v>
      </c>
      <c r="N21" s="2">
        <v>0.54789931818181825</v>
      </c>
      <c r="O21" s="2">
        <v>0.54789931818181825</v>
      </c>
      <c r="P21" s="2">
        <v>0.54789931818181825</v>
      </c>
      <c r="Q21" s="2">
        <v>0.54789931818181825</v>
      </c>
      <c r="R21" s="2">
        <v>0.54789931818181825</v>
      </c>
      <c r="S21" s="2">
        <v>0.54789931818181825</v>
      </c>
      <c r="T21" s="2">
        <v>0.54789931818181825</v>
      </c>
      <c r="U21" s="2">
        <v>0.54789931818181825</v>
      </c>
      <c r="V21" s="2">
        <v>0.54789931818181825</v>
      </c>
      <c r="W21" s="2">
        <v>0.54789931818181825</v>
      </c>
      <c r="X21" s="2">
        <v>0.54789931818181825</v>
      </c>
      <c r="Y21" s="2">
        <v>0.54789931818181825</v>
      </c>
      <c r="Z21" s="2">
        <v>0.54789931818181825</v>
      </c>
      <c r="AA21" s="2">
        <v>0.54789931818181825</v>
      </c>
      <c r="AB21" s="2">
        <v>0.54789931818181825</v>
      </c>
      <c r="AC21" s="2">
        <v>0.54789931818181825</v>
      </c>
      <c r="AD21" s="2">
        <v>0.54789931818181825</v>
      </c>
      <c r="AE21" s="2">
        <v>0.54789931818181825</v>
      </c>
      <c r="AF21" s="2">
        <v>0.54789931818181825</v>
      </c>
    </row>
    <row r="22" spans="1:32" x14ac:dyDescent="0.25">
      <c r="A22" s="5" t="s">
        <v>29</v>
      </c>
      <c r="B22" s="2">
        <v>0.56646396270396271</v>
      </c>
      <c r="C22" s="2">
        <v>0.56646396270396271</v>
      </c>
      <c r="D22" s="2">
        <v>0.56646396270396271</v>
      </c>
      <c r="E22" s="2">
        <v>0.56646396270396271</v>
      </c>
      <c r="F22" s="2">
        <v>0.56646396270396271</v>
      </c>
      <c r="G22" s="2">
        <v>0.56646396270396271</v>
      </c>
      <c r="H22" s="2">
        <v>0.56646396270396271</v>
      </c>
      <c r="I22" s="2">
        <v>0.56646396270396271</v>
      </c>
      <c r="J22" s="2">
        <v>0.56646396270396271</v>
      </c>
      <c r="K22" s="2">
        <v>0.56646396270396271</v>
      </c>
      <c r="L22" s="2">
        <v>0.56646396270396271</v>
      </c>
      <c r="M22" s="2">
        <v>0.56646396270396271</v>
      </c>
      <c r="N22" s="2">
        <v>0.56646396270396271</v>
      </c>
      <c r="O22" s="2">
        <v>0.56646396270396271</v>
      </c>
      <c r="P22" s="2">
        <v>0.56646396270396271</v>
      </c>
      <c r="Q22" s="2">
        <v>0.56646396270396271</v>
      </c>
      <c r="R22" s="2">
        <v>0.56646396270396271</v>
      </c>
      <c r="S22" s="2">
        <v>0.56646396270396271</v>
      </c>
      <c r="T22" s="2">
        <v>0.56646396270396271</v>
      </c>
      <c r="U22" s="2">
        <v>0.56646396270396271</v>
      </c>
      <c r="V22" s="2">
        <v>0.56646396270396271</v>
      </c>
      <c r="W22" s="2">
        <v>0.56646396270396271</v>
      </c>
      <c r="X22" s="2">
        <v>0.56646396270396271</v>
      </c>
      <c r="Y22" s="2">
        <v>0.56646396270396271</v>
      </c>
      <c r="Z22" s="2">
        <v>0.56646396270396271</v>
      </c>
      <c r="AA22" s="2">
        <v>0.56646396270396271</v>
      </c>
      <c r="AB22" s="2">
        <v>0.56646396270396271</v>
      </c>
      <c r="AC22" s="2">
        <v>0.56646396270396271</v>
      </c>
      <c r="AD22" s="2">
        <v>0.56646396270396271</v>
      </c>
      <c r="AE22" s="2">
        <v>0.56646396270396271</v>
      </c>
      <c r="AF22" s="2">
        <v>0.56646396270396271</v>
      </c>
    </row>
    <row r="23" spans="1:32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2" x14ac:dyDescent="0.25">
      <c r="A24" s="13" t="s">
        <v>159</v>
      </c>
      <c r="B24" t="s">
        <v>98</v>
      </c>
    </row>
    <row r="25" spans="1:32" x14ac:dyDescent="0.25">
      <c r="A25" s="9" t="s">
        <v>32</v>
      </c>
      <c r="B25">
        <f>CORREL(B26:B29,B12:B15)</f>
        <v>0.31555703827651782</v>
      </c>
      <c r="C25" s="4">
        <f t="shared" ref="C25:AF25" si="2">CORREL(C26:C29,C12:C15)</f>
        <v>-0.69547203389127066</v>
      </c>
      <c r="D25">
        <f t="shared" si="2"/>
        <v>0.18738267560489372</v>
      </c>
      <c r="E25">
        <f t="shared" si="2"/>
        <v>-0.16042373571342922</v>
      </c>
      <c r="F25">
        <f t="shared" si="2"/>
        <v>-0.16436845594181004</v>
      </c>
      <c r="G25">
        <f t="shared" si="2"/>
        <v>0.13078744162786562</v>
      </c>
      <c r="H25">
        <f t="shared" si="2"/>
        <v>-0.25870442781958114</v>
      </c>
      <c r="I25">
        <f t="shared" si="2"/>
        <v>0.38685203237842952</v>
      </c>
      <c r="J25">
        <f t="shared" si="2"/>
        <v>-0.41397842624130932</v>
      </c>
      <c r="K25">
        <f t="shared" si="2"/>
        <v>0.51084480744836203</v>
      </c>
      <c r="L25">
        <f t="shared" si="2"/>
        <v>0.59189530918268163</v>
      </c>
      <c r="M25">
        <f t="shared" si="2"/>
        <v>0.43397124056804914</v>
      </c>
      <c r="N25">
        <f t="shared" si="2"/>
        <v>-0.287268195180021</v>
      </c>
      <c r="O25">
        <f t="shared" si="2"/>
        <v>0.21665667004025568</v>
      </c>
      <c r="P25">
        <f t="shared" si="2"/>
        <v>0.58743929763552738</v>
      </c>
      <c r="Q25" s="4">
        <f t="shared" si="2"/>
        <v>-0.94204837294752231</v>
      </c>
      <c r="R25">
        <f t="shared" si="2"/>
        <v>0.25287540755137139</v>
      </c>
      <c r="S25">
        <f t="shared" si="2"/>
        <v>7.076690219371308E-2</v>
      </c>
      <c r="T25">
        <f t="shared" si="2"/>
        <v>-0.53318753477667191</v>
      </c>
      <c r="U25">
        <f t="shared" si="2"/>
        <v>0.39307876765820077</v>
      </c>
      <c r="V25">
        <f t="shared" si="2"/>
        <v>0.12956799407650829</v>
      </c>
      <c r="W25" s="4">
        <f t="shared" si="2"/>
        <v>0.69188426066295794</v>
      </c>
      <c r="X25">
        <f t="shared" si="2"/>
        <v>-0.11602212661850306</v>
      </c>
      <c r="Y25">
        <f t="shared" si="2"/>
        <v>-0.19783972022423127</v>
      </c>
      <c r="Z25">
        <f t="shared" si="2"/>
        <v>0.46894251471187259</v>
      </c>
      <c r="AA25">
        <f t="shared" si="2"/>
        <v>-0.21143306358050434</v>
      </c>
      <c r="AB25">
        <f t="shared" si="2"/>
        <v>-0.54952677004233508</v>
      </c>
      <c r="AC25" s="4">
        <f t="shared" si="2"/>
        <v>0.79206902119885703</v>
      </c>
      <c r="AD25" s="4">
        <f t="shared" si="2"/>
        <v>-0.86366260433438691</v>
      </c>
      <c r="AE25">
        <f t="shared" si="2"/>
        <v>-5.1222797897972454E-2</v>
      </c>
      <c r="AF25" s="4">
        <f t="shared" si="2"/>
        <v>-0.72551218881385293</v>
      </c>
    </row>
    <row r="26" spans="1:32" x14ac:dyDescent="0.25">
      <c r="A26" s="5" t="s">
        <v>30</v>
      </c>
      <c r="B26" s="2">
        <v>0.59378977156177148</v>
      </c>
      <c r="C26" s="2">
        <v>0.59378977156177148</v>
      </c>
      <c r="D26" s="2">
        <v>0.59378977156177148</v>
      </c>
      <c r="E26" s="2">
        <v>0.59378977156177148</v>
      </c>
      <c r="F26" s="2">
        <v>0.59378977156177148</v>
      </c>
      <c r="G26" s="2">
        <v>0.59378977156177148</v>
      </c>
      <c r="H26" s="2">
        <v>0.59378977156177148</v>
      </c>
      <c r="I26" s="2">
        <v>0.59378977156177148</v>
      </c>
      <c r="J26" s="2">
        <v>0.59378977156177148</v>
      </c>
      <c r="K26" s="2">
        <v>0.59378977156177148</v>
      </c>
      <c r="L26" s="2">
        <v>0.59378977156177148</v>
      </c>
      <c r="M26" s="2">
        <v>0.59378977156177148</v>
      </c>
      <c r="N26" s="2">
        <v>0.59378977156177148</v>
      </c>
      <c r="O26" s="2">
        <v>0.59378977156177148</v>
      </c>
      <c r="P26" s="2">
        <v>0.59378977156177148</v>
      </c>
      <c r="Q26" s="2">
        <v>0.59378977156177148</v>
      </c>
      <c r="R26" s="2">
        <v>0.59378977156177148</v>
      </c>
      <c r="S26" s="2">
        <v>0.59378977156177148</v>
      </c>
      <c r="T26" s="2">
        <v>0.59378977156177148</v>
      </c>
      <c r="U26" s="2">
        <v>0.59378977156177148</v>
      </c>
      <c r="V26" s="2">
        <v>0.59378977156177148</v>
      </c>
      <c r="W26" s="2">
        <v>0.59378977156177148</v>
      </c>
      <c r="X26" s="2">
        <v>0.59378977156177148</v>
      </c>
      <c r="Y26" s="2">
        <v>0.59378977156177148</v>
      </c>
      <c r="Z26" s="2">
        <v>0.59378977156177148</v>
      </c>
      <c r="AA26" s="2">
        <v>0.59378977156177148</v>
      </c>
      <c r="AB26" s="2">
        <v>0.59378977156177148</v>
      </c>
      <c r="AC26" s="2">
        <v>0.59378977156177148</v>
      </c>
      <c r="AD26" s="2">
        <v>0.59378977156177148</v>
      </c>
      <c r="AE26" s="2">
        <v>0.59378977156177148</v>
      </c>
      <c r="AF26" s="2">
        <v>0.59378977156177148</v>
      </c>
    </row>
    <row r="27" spans="1:32" x14ac:dyDescent="0.25">
      <c r="A27" s="5" t="s">
        <v>31</v>
      </c>
      <c r="B27" s="2">
        <v>0.60898133333333326</v>
      </c>
      <c r="C27" s="2">
        <v>0.60898133333333326</v>
      </c>
      <c r="D27" s="2">
        <v>0.60898133333333326</v>
      </c>
      <c r="E27" s="2">
        <v>0.60898133333333326</v>
      </c>
      <c r="F27" s="2">
        <v>0.60898133333333326</v>
      </c>
      <c r="G27" s="2">
        <v>0.60898133333333326</v>
      </c>
      <c r="H27" s="2">
        <v>0.60898133333333326</v>
      </c>
      <c r="I27" s="2">
        <v>0.60898133333333326</v>
      </c>
      <c r="J27" s="2">
        <v>0.60898133333333326</v>
      </c>
      <c r="K27" s="2">
        <v>0.60898133333333326</v>
      </c>
      <c r="L27" s="2">
        <v>0.60898133333333326</v>
      </c>
      <c r="M27" s="2">
        <v>0.60898133333333326</v>
      </c>
      <c r="N27" s="2">
        <v>0.60898133333333326</v>
      </c>
      <c r="O27" s="2">
        <v>0.60898133333333326</v>
      </c>
      <c r="P27" s="2">
        <v>0.60898133333333326</v>
      </c>
      <c r="Q27" s="2">
        <v>0.60898133333333326</v>
      </c>
      <c r="R27" s="2">
        <v>0.60898133333333326</v>
      </c>
      <c r="S27" s="2">
        <v>0.60898133333333326</v>
      </c>
      <c r="T27" s="2">
        <v>0.60898133333333326</v>
      </c>
      <c r="U27" s="2">
        <v>0.60898133333333326</v>
      </c>
      <c r="V27" s="2">
        <v>0.60898133333333326</v>
      </c>
      <c r="W27" s="2">
        <v>0.60898133333333326</v>
      </c>
      <c r="X27" s="2">
        <v>0.60898133333333326</v>
      </c>
      <c r="Y27" s="2">
        <v>0.60898133333333326</v>
      </c>
      <c r="Z27" s="2">
        <v>0.60898133333333326</v>
      </c>
      <c r="AA27" s="2">
        <v>0.60898133333333326</v>
      </c>
      <c r="AB27" s="2">
        <v>0.60898133333333326</v>
      </c>
      <c r="AC27" s="2">
        <v>0.60898133333333326</v>
      </c>
      <c r="AD27" s="2">
        <v>0.60898133333333326</v>
      </c>
      <c r="AE27" s="2">
        <v>0.60898133333333326</v>
      </c>
      <c r="AF27" s="2">
        <v>0.60898133333333326</v>
      </c>
    </row>
    <row r="28" spans="1:32" x14ac:dyDescent="0.25">
      <c r="A28" s="5" t="s">
        <v>28</v>
      </c>
      <c r="B28" s="2">
        <v>0.5355892255892255</v>
      </c>
      <c r="C28" s="2">
        <v>0.5355892255892255</v>
      </c>
      <c r="D28" s="2">
        <v>0.5355892255892255</v>
      </c>
      <c r="E28" s="2">
        <v>0.5355892255892255</v>
      </c>
      <c r="F28" s="2">
        <v>0.5355892255892255</v>
      </c>
      <c r="G28" s="2">
        <v>0.5355892255892255</v>
      </c>
      <c r="H28" s="2">
        <v>0.5355892255892255</v>
      </c>
      <c r="I28" s="2">
        <v>0.5355892255892255</v>
      </c>
      <c r="J28" s="2">
        <v>0.5355892255892255</v>
      </c>
      <c r="K28" s="2">
        <v>0.5355892255892255</v>
      </c>
      <c r="L28" s="2">
        <v>0.5355892255892255</v>
      </c>
      <c r="M28" s="2">
        <v>0.5355892255892255</v>
      </c>
      <c r="N28" s="2">
        <v>0.5355892255892255</v>
      </c>
      <c r="O28" s="2">
        <v>0.5355892255892255</v>
      </c>
      <c r="P28" s="2">
        <v>0.5355892255892255</v>
      </c>
      <c r="Q28" s="2">
        <v>0.5355892255892255</v>
      </c>
      <c r="R28" s="2">
        <v>0.5355892255892255</v>
      </c>
      <c r="S28" s="2">
        <v>0.5355892255892255</v>
      </c>
      <c r="T28" s="2">
        <v>0.5355892255892255</v>
      </c>
      <c r="U28" s="2">
        <v>0.5355892255892255</v>
      </c>
      <c r="V28" s="2">
        <v>0.5355892255892255</v>
      </c>
      <c r="W28" s="2">
        <v>0.5355892255892255</v>
      </c>
      <c r="X28" s="2">
        <v>0.5355892255892255</v>
      </c>
      <c r="Y28" s="2">
        <v>0.5355892255892255</v>
      </c>
      <c r="Z28" s="2">
        <v>0.5355892255892255</v>
      </c>
      <c r="AA28" s="2">
        <v>0.5355892255892255</v>
      </c>
      <c r="AB28" s="2">
        <v>0.5355892255892255</v>
      </c>
      <c r="AC28" s="2">
        <v>0.5355892255892255</v>
      </c>
      <c r="AD28" s="2">
        <v>0.5355892255892255</v>
      </c>
      <c r="AE28" s="2">
        <v>0.5355892255892255</v>
      </c>
      <c r="AF28" s="2">
        <v>0.5355892255892255</v>
      </c>
    </row>
    <row r="29" spans="1:32" x14ac:dyDescent="0.25">
      <c r="A29" s="5" t="s">
        <v>29</v>
      </c>
      <c r="B29" s="2">
        <v>0.62420660256410254</v>
      </c>
      <c r="C29" s="2">
        <v>0.62420660256410254</v>
      </c>
      <c r="D29" s="2">
        <v>0.62420660256410254</v>
      </c>
      <c r="E29" s="2">
        <v>0.62420660256410254</v>
      </c>
      <c r="F29" s="2">
        <v>0.62420660256410254</v>
      </c>
      <c r="G29" s="2">
        <v>0.62420660256410254</v>
      </c>
      <c r="H29" s="2">
        <v>0.62420660256410254</v>
      </c>
      <c r="I29" s="2">
        <v>0.62420660256410254</v>
      </c>
      <c r="J29" s="2">
        <v>0.62420660256410254</v>
      </c>
      <c r="K29" s="2">
        <v>0.62420660256410254</v>
      </c>
      <c r="L29" s="2">
        <v>0.62420660256410254</v>
      </c>
      <c r="M29" s="2">
        <v>0.62420660256410254</v>
      </c>
      <c r="N29" s="2">
        <v>0.62420660256410254</v>
      </c>
      <c r="O29" s="2">
        <v>0.62420660256410254</v>
      </c>
      <c r="P29" s="2">
        <v>0.62420660256410254</v>
      </c>
      <c r="Q29" s="2">
        <v>0.62420660256410254</v>
      </c>
      <c r="R29" s="2">
        <v>0.62420660256410254</v>
      </c>
      <c r="S29" s="2">
        <v>0.62420660256410254</v>
      </c>
      <c r="T29" s="2">
        <v>0.62420660256410254</v>
      </c>
      <c r="U29" s="2">
        <v>0.62420660256410254</v>
      </c>
      <c r="V29" s="2">
        <v>0.62420660256410254</v>
      </c>
      <c r="W29" s="2">
        <v>0.62420660256410254</v>
      </c>
      <c r="X29" s="2">
        <v>0.62420660256410254</v>
      </c>
      <c r="Y29" s="2">
        <v>0.62420660256410254</v>
      </c>
      <c r="Z29" s="2">
        <v>0.62420660256410254</v>
      </c>
      <c r="AA29" s="2">
        <v>0.62420660256410254</v>
      </c>
      <c r="AB29" s="2">
        <v>0.62420660256410254</v>
      </c>
      <c r="AC29" s="2">
        <v>0.62420660256410254</v>
      </c>
      <c r="AD29" s="2">
        <v>0.62420660256410254</v>
      </c>
      <c r="AE29" s="2">
        <v>0.62420660256410254</v>
      </c>
      <c r="AF29" s="2">
        <v>0.62420660256410254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F3CB-013F-4264-8280-B416667AB026}">
  <dimension ref="A1:L28"/>
  <sheetViews>
    <sheetView topLeftCell="A12" workbookViewId="0">
      <selection activeCell="H21" sqref="H21"/>
    </sheetView>
  </sheetViews>
  <sheetFormatPr defaultRowHeight="15" x14ac:dyDescent="0.25"/>
  <cols>
    <col min="7" max="7" width="30" customWidth="1"/>
  </cols>
  <sheetData>
    <row r="1" spans="1:1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x14ac:dyDescent="0.25">
      <c r="A2" s="15">
        <v>0.45669999999999999</v>
      </c>
      <c r="B2" s="15">
        <v>0.56408999999999998</v>
      </c>
      <c r="C2" s="15">
        <v>0.45957999999999999</v>
      </c>
      <c r="D2" s="15">
        <v>0.56005000000000005</v>
      </c>
      <c r="E2" s="15">
        <v>0.56177999999999995</v>
      </c>
      <c r="F2" s="15">
        <v>0.55600000000000005</v>
      </c>
      <c r="G2" s="15">
        <v>0.71940000000000004</v>
      </c>
      <c r="H2" s="15">
        <v>0.70611999999999997</v>
      </c>
      <c r="I2" s="15">
        <v>0.62990999999999997</v>
      </c>
      <c r="J2" s="15">
        <v>0.64492000000000005</v>
      </c>
      <c r="K2" s="15">
        <v>0.55947000000000002</v>
      </c>
      <c r="L2" s="15">
        <v>0.58025000000000004</v>
      </c>
    </row>
    <row r="3" spans="1:12" x14ac:dyDescent="0.25">
      <c r="A3" s="15">
        <v>0.64198</v>
      </c>
      <c r="B3" s="15">
        <v>0.61836000000000002</v>
      </c>
      <c r="C3" s="15">
        <v>0.5212</v>
      </c>
      <c r="D3" s="15">
        <v>0.5</v>
      </c>
      <c r="E3" s="15">
        <v>0.5</v>
      </c>
      <c r="F3" s="15">
        <v>0.66022999999999998</v>
      </c>
      <c r="G3" s="15">
        <v>0.71175999999999995</v>
      </c>
      <c r="H3" s="15">
        <v>0.68598999999999999</v>
      </c>
      <c r="I3" s="15">
        <v>0.5</v>
      </c>
      <c r="J3" s="15">
        <v>0.5</v>
      </c>
      <c r="K3" s="15">
        <v>0.5</v>
      </c>
      <c r="L3" s="15">
        <v>0.62802000000000002</v>
      </c>
    </row>
    <row r="4" spans="1:12" x14ac:dyDescent="0.25">
      <c r="A4" s="15">
        <v>0.3795</v>
      </c>
      <c r="B4" s="15">
        <v>0.39399000000000001</v>
      </c>
      <c r="C4" s="15">
        <v>0.38324999999999998</v>
      </c>
      <c r="D4" s="15">
        <v>0.5</v>
      </c>
      <c r="E4" s="15">
        <v>0.24906</v>
      </c>
      <c r="F4" s="15">
        <v>0.37735000000000002</v>
      </c>
      <c r="G4" s="15">
        <v>0.5</v>
      </c>
      <c r="H4" s="15">
        <v>0.63983000000000001</v>
      </c>
      <c r="I4" s="15">
        <v>0.77080000000000004</v>
      </c>
      <c r="J4" s="15">
        <v>0.63983000000000001</v>
      </c>
      <c r="K4" s="15">
        <v>0.37465999999999999</v>
      </c>
      <c r="L4" s="15">
        <v>0.37304999999999999</v>
      </c>
    </row>
    <row r="5" spans="1:12" x14ac:dyDescent="0.25">
      <c r="A5" s="15">
        <v>0.60063999999999995</v>
      </c>
      <c r="B5" s="15">
        <v>0.5</v>
      </c>
      <c r="C5" s="15">
        <v>0.71658999999999995</v>
      </c>
      <c r="D5" s="15">
        <v>0.74341999999999997</v>
      </c>
      <c r="E5" s="15">
        <v>0.58131999999999995</v>
      </c>
      <c r="F5" s="15">
        <v>0.66881000000000002</v>
      </c>
      <c r="G5" s="15">
        <v>0.71604999999999996</v>
      </c>
      <c r="H5" s="15">
        <v>0.5</v>
      </c>
      <c r="I5" s="15">
        <v>1</v>
      </c>
      <c r="J5" s="15">
        <v>0.82984000000000002</v>
      </c>
      <c r="K5" s="15">
        <v>0.5</v>
      </c>
      <c r="L5" s="15">
        <v>0.5</v>
      </c>
    </row>
    <row r="6" spans="1:12" x14ac:dyDescent="0.25">
      <c r="A6" s="15">
        <v>0.37574000000000002</v>
      </c>
      <c r="B6" s="15">
        <v>0.5</v>
      </c>
      <c r="C6" s="15">
        <v>0.5</v>
      </c>
      <c r="D6" s="15">
        <v>0.63124000000000002</v>
      </c>
      <c r="E6" s="15">
        <v>0.5</v>
      </c>
      <c r="F6" s="15">
        <v>0.5</v>
      </c>
      <c r="G6" s="15">
        <v>0.64305000000000001</v>
      </c>
      <c r="H6" s="15">
        <v>0.64305000000000001</v>
      </c>
      <c r="I6" s="15">
        <v>0.24046999999999999</v>
      </c>
      <c r="J6" s="15">
        <v>0.5</v>
      </c>
      <c r="K6" s="15">
        <v>0.5</v>
      </c>
      <c r="L6" s="15">
        <v>0.37091000000000002</v>
      </c>
    </row>
    <row r="7" spans="1:12" x14ac:dyDescent="0.25">
      <c r="A7" s="15">
        <v>0.38862000000000002</v>
      </c>
      <c r="B7" s="15">
        <v>0.39613999999999999</v>
      </c>
      <c r="C7" s="15">
        <v>0.40043000000000001</v>
      </c>
      <c r="D7" s="15">
        <v>0.63392000000000004</v>
      </c>
      <c r="E7" s="15">
        <v>0.38324999999999998</v>
      </c>
      <c r="F7" s="15">
        <v>0.41653000000000001</v>
      </c>
      <c r="G7" s="15">
        <v>0.63070000000000004</v>
      </c>
      <c r="H7" s="15">
        <v>0.32367000000000001</v>
      </c>
      <c r="I7" s="15">
        <v>0.44713000000000003</v>
      </c>
      <c r="J7" s="15">
        <v>0.60224999999999995</v>
      </c>
      <c r="K7" s="15">
        <v>0.64895000000000003</v>
      </c>
      <c r="L7" s="15">
        <v>0.58775999999999995</v>
      </c>
    </row>
    <row r="8" spans="1:12" x14ac:dyDescent="0.25">
      <c r="A8" s="15">
        <v>0.39238000000000001</v>
      </c>
      <c r="B8" s="15">
        <v>0.26033000000000001</v>
      </c>
      <c r="C8" s="15">
        <v>0.45195999999999997</v>
      </c>
      <c r="D8" s="15">
        <v>0.45034999999999997</v>
      </c>
      <c r="E8" s="15">
        <v>0.42887999999999998</v>
      </c>
      <c r="F8" s="15">
        <v>0.43264000000000002</v>
      </c>
      <c r="G8" s="15">
        <v>0.51368999999999998</v>
      </c>
      <c r="H8" s="15">
        <v>0.31455</v>
      </c>
      <c r="I8" s="15">
        <v>0.44874000000000003</v>
      </c>
      <c r="J8" s="15">
        <v>0.40848000000000001</v>
      </c>
      <c r="K8" s="15">
        <v>0.27750999999999998</v>
      </c>
      <c r="L8" s="15">
        <v>0.5</v>
      </c>
    </row>
    <row r="9" spans="1:12" x14ac:dyDescent="0.25">
      <c r="A9" s="15">
        <v>0.49537999999999999</v>
      </c>
      <c r="B9" s="15">
        <v>0.84179999999999999</v>
      </c>
      <c r="C9" s="15">
        <v>0.85219</v>
      </c>
      <c r="D9" s="15">
        <v>0.54964999999999997</v>
      </c>
      <c r="E9" s="15">
        <v>0.63568000000000002</v>
      </c>
      <c r="F9" s="15">
        <v>0.59814999999999996</v>
      </c>
      <c r="G9" s="15">
        <v>0.40588999999999997</v>
      </c>
      <c r="H9" s="15">
        <v>0.70611999999999997</v>
      </c>
      <c r="I9" s="15">
        <v>0.77136000000000005</v>
      </c>
      <c r="J9" s="15">
        <v>0.57389999999999997</v>
      </c>
      <c r="K9" s="15">
        <v>0.53983999999999999</v>
      </c>
      <c r="L9" s="15">
        <v>0.64434000000000002</v>
      </c>
    </row>
    <row r="10" spans="1:12" x14ac:dyDescent="0.25">
      <c r="A10" s="15">
        <v>0.25807999999999998</v>
      </c>
      <c r="B10" s="15">
        <v>0.5</v>
      </c>
      <c r="C10" s="15">
        <v>0.51154999999999995</v>
      </c>
      <c r="D10" s="15">
        <v>0.11432</v>
      </c>
      <c r="E10" s="15">
        <v>0.62182000000000004</v>
      </c>
      <c r="F10" s="15">
        <v>0.5</v>
      </c>
      <c r="G10" s="15">
        <v>0</v>
      </c>
      <c r="H10" s="15">
        <v>0.41743999999999998</v>
      </c>
      <c r="I10" s="15">
        <v>0.5</v>
      </c>
      <c r="J10" s="15">
        <v>0.36085</v>
      </c>
      <c r="K10" s="15">
        <v>0.63105999999999995</v>
      </c>
      <c r="L10" s="15">
        <v>0.24884999999999999</v>
      </c>
    </row>
    <row r="11" spans="1:12" x14ac:dyDescent="0.25">
      <c r="A11" s="15">
        <v>0.5</v>
      </c>
      <c r="B11" s="15">
        <v>0.53117999999999999</v>
      </c>
      <c r="C11" s="15">
        <v>0.5</v>
      </c>
      <c r="D11" s="15">
        <v>0.5</v>
      </c>
      <c r="E11" s="15">
        <v>0.46073999999999998</v>
      </c>
      <c r="F11" s="15">
        <v>0.26269999999999999</v>
      </c>
      <c r="G11" s="15">
        <v>0.38163999999999998</v>
      </c>
      <c r="H11" s="15">
        <v>0.42841000000000001</v>
      </c>
      <c r="I11" s="15">
        <v>0.55830999999999997</v>
      </c>
      <c r="J11" s="15">
        <v>0.5</v>
      </c>
      <c r="K11" s="15">
        <v>0.43071999999999999</v>
      </c>
      <c r="L11" s="15">
        <v>0.5</v>
      </c>
    </row>
    <row r="12" spans="1:12" x14ac:dyDescent="0.25">
      <c r="A12" s="15">
        <v>0.61604999999999999</v>
      </c>
      <c r="B12" s="15">
        <v>0.5</v>
      </c>
      <c r="C12" s="15">
        <v>0.59699999999999998</v>
      </c>
      <c r="D12" s="15">
        <v>0.72806000000000004</v>
      </c>
      <c r="E12" s="15">
        <v>0.63395000000000001</v>
      </c>
      <c r="F12" s="15">
        <v>0.87356</v>
      </c>
      <c r="G12" s="15">
        <v>0.89722999999999997</v>
      </c>
      <c r="H12" s="15">
        <v>0.5</v>
      </c>
      <c r="I12" s="15">
        <v>0.64088000000000001</v>
      </c>
      <c r="J12" s="15">
        <v>0.66569999999999996</v>
      </c>
      <c r="K12" s="15">
        <v>0.65647</v>
      </c>
      <c r="L12" s="15">
        <v>0.62124999999999997</v>
      </c>
    </row>
    <row r="13" spans="1:12" x14ac:dyDescent="0.25">
      <c r="A13" s="15">
        <v>0.78580000000000005</v>
      </c>
      <c r="B13" s="15">
        <v>0.80947000000000002</v>
      </c>
      <c r="C13" s="15">
        <v>0.64202999999999999</v>
      </c>
      <c r="D13" s="15">
        <v>0.5</v>
      </c>
      <c r="E13" s="15">
        <v>0.32447999999999999</v>
      </c>
      <c r="F13" s="15">
        <v>0.74365000000000003</v>
      </c>
      <c r="G13" s="15">
        <v>0.69111</v>
      </c>
      <c r="H13" s="15">
        <v>0.63105999999999995</v>
      </c>
      <c r="I13" s="15">
        <v>0.69572999999999996</v>
      </c>
      <c r="J13" s="15">
        <v>0.64029999999999998</v>
      </c>
      <c r="K13" s="15">
        <v>0.44169000000000003</v>
      </c>
      <c r="L13" s="15">
        <v>0.81813000000000002</v>
      </c>
    </row>
    <row r="14" spans="1:12" x14ac:dyDescent="0.25">
      <c r="A14" s="15">
        <v>0.625</v>
      </c>
      <c r="B14" s="15">
        <v>0.625</v>
      </c>
      <c r="C14" s="15">
        <v>0.5</v>
      </c>
      <c r="D14" s="15">
        <v>0.5</v>
      </c>
      <c r="E14" s="15">
        <v>0.5</v>
      </c>
      <c r="F14" s="15">
        <v>0.375</v>
      </c>
      <c r="G14" s="15">
        <v>0.5</v>
      </c>
      <c r="H14" s="15">
        <v>0.375</v>
      </c>
      <c r="I14" s="15">
        <v>0.5</v>
      </c>
      <c r="J14" s="15">
        <v>0.625</v>
      </c>
      <c r="K14" s="15">
        <v>0.625</v>
      </c>
      <c r="L14" s="15">
        <v>0.5</v>
      </c>
    </row>
    <row r="15" spans="1:12" x14ac:dyDescent="0.25">
      <c r="A15" s="15">
        <v>0.625</v>
      </c>
      <c r="B15" s="15">
        <v>0.625</v>
      </c>
      <c r="C15" s="15">
        <v>0.57389999999999997</v>
      </c>
      <c r="D15" s="15">
        <v>0.5</v>
      </c>
      <c r="E15" s="15">
        <v>0.625</v>
      </c>
      <c r="F15" s="15">
        <v>0.75</v>
      </c>
      <c r="G15" s="15">
        <v>0.625</v>
      </c>
      <c r="H15" s="15">
        <v>0.75</v>
      </c>
      <c r="I15" s="15">
        <v>0.5</v>
      </c>
      <c r="J15" s="15">
        <v>0.375</v>
      </c>
      <c r="K15" s="15">
        <v>0.625</v>
      </c>
      <c r="L15" s="15">
        <v>0.625</v>
      </c>
    </row>
    <row r="16" spans="1:12" x14ac:dyDescent="0.25">
      <c r="A16" s="15">
        <v>0.76212000000000002</v>
      </c>
      <c r="B16" s="15">
        <v>0.63278999999999996</v>
      </c>
      <c r="C16" s="15">
        <v>0.11028</v>
      </c>
      <c r="D16" s="15">
        <v>0.5</v>
      </c>
      <c r="E16" s="15">
        <v>0</v>
      </c>
      <c r="F16" s="15">
        <v>0</v>
      </c>
      <c r="G16" s="15">
        <v>0.63105999999999995</v>
      </c>
      <c r="H16" s="15">
        <v>0.63741000000000003</v>
      </c>
      <c r="I16" s="15">
        <v>0</v>
      </c>
      <c r="J16" s="15">
        <v>0.5</v>
      </c>
      <c r="K16" s="15">
        <v>0.62932999999999995</v>
      </c>
      <c r="L16" s="15">
        <v>0.24654000000000001</v>
      </c>
    </row>
    <row r="18" spans="1:12" x14ac:dyDescent="0.25">
      <c r="A18">
        <f>AVERAGE(A2:A10,A12:A16)</f>
        <v>0.52878499999999995</v>
      </c>
      <c r="B18">
        <f>AVERAGE(B2:B4,B7:B9,B11,B13:B16)</f>
        <v>0.57255909090909085</v>
      </c>
      <c r="C18">
        <f>AVERAGE(C2:C5,C7:C10,C12:C13,C15:C16)</f>
        <v>0.51833000000000007</v>
      </c>
      <c r="D18">
        <f>AVERAGE(D2,D5:D10,D12)</f>
        <v>0.55137625000000001</v>
      </c>
      <c r="E18">
        <f>AVERAGE(E2,E4:E5,E7:E13,E15)</f>
        <v>0.50054181818181831</v>
      </c>
      <c r="F18">
        <f>AVERAGE(F2:F5,F7:F9,F11:F15)</f>
        <v>0.55955166666666667</v>
      </c>
      <c r="G18">
        <f>AVERAGE(G2:G3,G5:G9,G11:G13,G15:G16)</f>
        <v>0.63054833333333338</v>
      </c>
      <c r="H18">
        <f>AVERAGE(H2:H4,H6:H11,H13:H16)</f>
        <v>0.55835769230769228</v>
      </c>
      <c r="I18">
        <f>AVERAGE(I2,I4,I6:I9,I11:I13)</f>
        <v>0.57814777777777782</v>
      </c>
      <c r="J18">
        <f>AVERAGE(J2,J4:J5,J7:J10,J12:J15)</f>
        <v>0.57873363636363639</v>
      </c>
      <c r="K18">
        <f>AVERAGE(K2,K4,K7:K16)</f>
        <v>0.53664166666666668</v>
      </c>
      <c r="L18">
        <f>AVERAGE(L2:L4,L6:L7,L9:L10,L12:L13,L15:L16)</f>
        <v>0.52219090909090926</v>
      </c>
    </row>
    <row r="19" spans="1:12" x14ac:dyDescent="0.25">
      <c r="A19">
        <f>VAR(A2:A10,A12:A16)</f>
        <v>2.5243283611538485E-2</v>
      </c>
      <c r="B19">
        <f>VAR(B2:B4,B7:B9,B11,B13:B16)</f>
        <v>3.021246052909099E-2</v>
      </c>
      <c r="C19">
        <f>VAR(C2:C4,C7,C9:C15)</f>
        <v>1.6715137721818252E-2</v>
      </c>
      <c r="D19">
        <f>VAR(D2,D5:D10,D12)</f>
        <v>4.037033162678564E-2</v>
      </c>
      <c r="E19">
        <f>VAR(E2,E4:E5,E7:E13,E15)</f>
        <v>1.9125137736363484E-2</v>
      </c>
      <c r="F19">
        <f>VAR(F2,F4,F6,F8:F16)</f>
        <v>5.5965334135606011E-2</v>
      </c>
      <c r="G19">
        <f>VAR(G2:G3,G5:G9,G11:G13,G15:G16)</f>
        <v>2.0259751906060573E-2</v>
      </c>
      <c r="H19">
        <f>VAR(H2:H9,H11:H13,H15:H16)</f>
        <v>2.1411150675640922E-2</v>
      </c>
      <c r="I19">
        <f>VAR(I2,I4,I6:I9,I11:I13)</f>
        <v>3.040224124444435E-2</v>
      </c>
      <c r="J19">
        <f>VAR(J2,J4:J5,J7:J10,J12:J15)</f>
        <v>2.0320530585454487E-2</v>
      </c>
      <c r="K19">
        <f>VAR(K2,K4,K7:K16)</f>
        <v>1.5840562887878749E-2</v>
      </c>
      <c r="L19">
        <f>VAR(L2:L4,L6:L7,L9:L10,L12:L13,L15:L16)</f>
        <v>3.3758031929090791E-2</v>
      </c>
    </row>
    <row r="22" spans="1:12" x14ac:dyDescent="0.25">
      <c r="G22" s="4" t="s">
        <v>18</v>
      </c>
      <c r="H22" t="s">
        <v>14</v>
      </c>
      <c r="I22" t="s">
        <v>15</v>
      </c>
      <c r="J22" t="s">
        <v>16</v>
      </c>
      <c r="K22" t="s">
        <v>17</v>
      </c>
    </row>
    <row r="23" spans="1:12" x14ac:dyDescent="0.25">
      <c r="G23" t="s">
        <v>13</v>
      </c>
      <c r="H23">
        <f>AVERAGE(A18:C18)</f>
        <v>0.53989136363636359</v>
      </c>
      <c r="I23">
        <f>AVERAGE(D18:F18)</f>
        <v>0.53715657828282837</v>
      </c>
      <c r="J23">
        <f>AVERAGE(G18:I18)</f>
        <v>0.58901793447293438</v>
      </c>
      <c r="K23">
        <f>AVERAGE(J18:L18)</f>
        <v>0.54585540404040411</v>
      </c>
    </row>
    <row r="24" spans="1:12" x14ac:dyDescent="0.25">
      <c r="G24" t="s">
        <v>19</v>
      </c>
      <c r="H24">
        <f>AVERAGE(A19:C19)</f>
        <v>2.4056960620815911E-2</v>
      </c>
      <c r="I24">
        <f>AVERAGE(D19:F19)</f>
        <v>3.8486934499585047E-2</v>
      </c>
      <c r="J24">
        <f>AVERAGE(G19:I19)</f>
        <v>2.4024381275381951E-2</v>
      </c>
      <c r="K24">
        <f>AVERAGE(J19:L19)</f>
        <v>2.3306375134141345E-2</v>
      </c>
    </row>
    <row r="25" spans="1:12" x14ac:dyDescent="0.25">
      <c r="G25" t="s">
        <v>20</v>
      </c>
      <c r="H25">
        <f>COUNT(A2:C4,A5,C5,A6:A10,B7:C9,C10,B11,A12,A13:C13,C12,A14:B16,C15:C16)</f>
        <v>37</v>
      </c>
      <c r="I25">
        <f>COUNTA(D2:F2,F3:F4,E4,D5:F5,D6:D10,E7:F9,E10:E13,D12,F11:F15,E15)</f>
        <v>31</v>
      </c>
      <c r="J25">
        <f>COUNTA(G2:I2,G3:H3,H4:I4,G5,G6:I6,G7:I9,H10:H11,G11,G12,I11:I13,G13:H13,H14:H16,G15:G16)</f>
        <v>34</v>
      </c>
      <c r="K25">
        <f>COUNTA(J2:L2,L3:L4,J4:K4,J5,L6:L7,J7:K10,L9:L10,K11:K16,J12:J15,L12:L13,L15:L16)</f>
        <v>34</v>
      </c>
    </row>
    <row r="26" spans="1:12" x14ac:dyDescent="0.25">
      <c r="G26" t="s">
        <v>21</v>
      </c>
      <c r="H26">
        <v>0.05</v>
      </c>
      <c r="I26">
        <v>0.05</v>
      </c>
      <c r="J26">
        <v>0.05</v>
      </c>
      <c r="K26">
        <v>0.05</v>
      </c>
    </row>
    <row r="27" spans="1:12" x14ac:dyDescent="0.25">
      <c r="G27" t="s">
        <v>22</v>
      </c>
      <c r="H27">
        <f>CONFIDENCE(H26,H28,H25)</f>
        <v>5.4532985735066056E-2</v>
      </c>
      <c r="I27">
        <f t="shared" ref="I27:K27" si="0">CONFIDENCE(I26,I28,I25)</f>
        <v>6.0307255304417391E-2</v>
      </c>
      <c r="J27">
        <f t="shared" si="0"/>
        <v>5.2563052420248745E-2</v>
      </c>
      <c r="K27">
        <f t="shared" si="0"/>
        <v>5.0133606200662983E-2</v>
      </c>
    </row>
    <row r="28" spans="1:12" x14ac:dyDescent="0.25">
      <c r="G28" t="s">
        <v>23</v>
      </c>
      <c r="H28">
        <f>STDEV(A2:C4,A5,C5,A6:A10,B7:C9,C10,B11,A12,A13:C13,C12,A14:B16,C15:C16)</f>
        <v>0.16924351922333411</v>
      </c>
      <c r="I28">
        <f>STDEV(D2:F2,F3:F4,E4,D5:F5,D6:D10,E7:F9,E10:E13,D12,F11:F15,E15)</f>
        <v>0.17131773315866511</v>
      </c>
      <c r="J28">
        <f>STDEV(G2:I2,G3:H3,H4:I4,G5,G6:I6,G7:I9,H10:H11,G11,G12,I11:I13,G13:H13,H14:H16,G15:G16)</f>
        <v>0.1563766643296903</v>
      </c>
      <c r="K28">
        <f>STDEV(J2:L2,L3:L4,J4:K4,J5,L6:L7,J7:K10,L9:L10,K11:K16,J12:J15,L12:L13,L15:L16)</f>
        <v>0.14914898864316861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F4F1-4CAC-46AA-A40E-851839BF3396}">
  <dimension ref="A1:L28"/>
  <sheetViews>
    <sheetView topLeftCell="A9" zoomScale="90" zoomScaleNormal="90" workbookViewId="0">
      <selection activeCell="K23" sqref="K23"/>
    </sheetView>
  </sheetViews>
  <sheetFormatPr defaultRowHeight="15" x14ac:dyDescent="0.25"/>
  <cols>
    <col min="7" max="7" width="30.140625" customWidth="1"/>
  </cols>
  <sheetData>
    <row r="1" spans="1:1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x14ac:dyDescent="0.25">
      <c r="A2" s="15">
        <v>0.78868000000000005</v>
      </c>
      <c r="B2" s="15">
        <v>0.78117999999999999</v>
      </c>
      <c r="C2" s="15">
        <v>0.72228999999999999</v>
      </c>
      <c r="D2" s="15">
        <v>0.65530999999999995</v>
      </c>
      <c r="E2" s="15">
        <v>0.56640000000000001</v>
      </c>
      <c r="F2" s="15">
        <v>0.51212000000000002</v>
      </c>
      <c r="G2" s="15">
        <v>0.94630000000000003</v>
      </c>
      <c r="H2" s="15">
        <v>0.90068999999999999</v>
      </c>
      <c r="I2" s="15">
        <v>0.92147999999999997</v>
      </c>
      <c r="J2" s="15">
        <v>0.66686000000000001</v>
      </c>
      <c r="K2" s="15">
        <v>0.70901000000000003</v>
      </c>
      <c r="L2" s="15">
        <v>0.60162000000000004</v>
      </c>
    </row>
    <row r="3" spans="1:12" x14ac:dyDescent="0.25">
      <c r="A3" s="15">
        <v>0.37574000000000002</v>
      </c>
      <c r="B3" s="15">
        <v>0.36447000000000002</v>
      </c>
      <c r="C3" s="15">
        <v>0.62373000000000001</v>
      </c>
      <c r="D3" s="15">
        <v>0.62856000000000001</v>
      </c>
      <c r="E3" s="15">
        <v>0.63983000000000001</v>
      </c>
      <c r="F3" s="15">
        <v>0.36821999999999999</v>
      </c>
      <c r="G3" s="15">
        <v>0.35587999999999997</v>
      </c>
      <c r="H3" s="15">
        <v>0.31777</v>
      </c>
      <c r="I3" s="15">
        <v>0.63875000000000004</v>
      </c>
      <c r="J3" s="15">
        <v>0.70155999999999996</v>
      </c>
      <c r="K3" s="15">
        <v>0.74717999999999996</v>
      </c>
      <c r="L3" s="15">
        <v>0.38916000000000001</v>
      </c>
    </row>
    <row r="4" spans="1:12" x14ac:dyDescent="0.25">
      <c r="A4" s="15">
        <v>0.5</v>
      </c>
      <c r="B4" s="15">
        <v>0.5</v>
      </c>
      <c r="C4" s="15">
        <v>0.5</v>
      </c>
      <c r="D4" s="15">
        <v>0.5</v>
      </c>
      <c r="E4" s="15">
        <v>0.5</v>
      </c>
      <c r="F4" s="15">
        <v>0.5</v>
      </c>
      <c r="G4" s="15">
        <v>0.5</v>
      </c>
      <c r="H4" s="15">
        <v>0.5</v>
      </c>
      <c r="I4" s="15">
        <v>0.63285000000000002</v>
      </c>
      <c r="J4" s="15">
        <v>0.5</v>
      </c>
      <c r="K4" s="15">
        <v>0.5</v>
      </c>
      <c r="L4" s="15">
        <v>0.23188</v>
      </c>
    </row>
    <row r="5" spans="1:12" x14ac:dyDescent="0.25">
      <c r="A5" s="15">
        <v>0.57594999999999996</v>
      </c>
      <c r="B5" s="15">
        <v>0.5</v>
      </c>
      <c r="C5" s="15">
        <v>0.79871000000000003</v>
      </c>
      <c r="D5" s="15">
        <v>0.76490000000000002</v>
      </c>
      <c r="E5" s="15">
        <v>0.58292999999999995</v>
      </c>
      <c r="F5" s="15">
        <v>0.74611000000000005</v>
      </c>
      <c r="G5" s="15">
        <v>0.76973000000000003</v>
      </c>
      <c r="H5" s="15">
        <v>0.5</v>
      </c>
      <c r="I5" s="15">
        <v>1</v>
      </c>
      <c r="J5" s="15">
        <v>0.82984000000000002</v>
      </c>
      <c r="K5" s="15">
        <v>0.62909000000000004</v>
      </c>
      <c r="L5" s="15">
        <v>0.5</v>
      </c>
    </row>
    <row r="6" spans="1:12" x14ac:dyDescent="0.25">
      <c r="A6" s="15">
        <v>0.37841999999999998</v>
      </c>
      <c r="B6" s="15">
        <v>0.6452</v>
      </c>
      <c r="C6" s="15">
        <v>0.64573000000000003</v>
      </c>
      <c r="D6" s="15">
        <v>0.64627000000000001</v>
      </c>
      <c r="E6" s="15">
        <v>0.77617000000000003</v>
      </c>
      <c r="F6" s="15">
        <v>0.76704000000000006</v>
      </c>
      <c r="G6" s="15">
        <v>0.65110000000000001</v>
      </c>
      <c r="H6" s="15">
        <v>0.2351</v>
      </c>
      <c r="I6" s="15">
        <v>0.37789</v>
      </c>
      <c r="J6" s="15">
        <v>0.64466000000000001</v>
      </c>
      <c r="K6" s="15">
        <v>0.23080999999999999</v>
      </c>
      <c r="L6" s="15">
        <v>0.23724999999999999</v>
      </c>
    </row>
    <row r="7" spans="1:12" x14ac:dyDescent="0.25">
      <c r="A7" s="15">
        <v>0.5</v>
      </c>
      <c r="B7" s="15">
        <v>0.57220000000000004</v>
      </c>
      <c r="C7" s="15">
        <v>0.64412000000000003</v>
      </c>
      <c r="D7" s="15">
        <v>0.61353000000000002</v>
      </c>
      <c r="E7" s="15">
        <v>0.5</v>
      </c>
      <c r="F7" s="15">
        <v>0.68706</v>
      </c>
      <c r="G7" s="15">
        <v>0.58238999999999996</v>
      </c>
      <c r="H7" s="15">
        <v>0.54266999999999999</v>
      </c>
      <c r="I7" s="15">
        <v>0.5</v>
      </c>
      <c r="J7" s="15">
        <v>0.5</v>
      </c>
      <c r="K7" s="15">
        <v>0.54857999999999996</v>
      </c>
      <c r="L7" s="15">
        <v>0.63392000000000004</v>
      </c>
    </row>
    <row r="8" spans="1:12" x14ac:dyDescent="0.25">
      <c r="A8" s="15">
        <v>0.69725999999999999</v>
      </c>
      <c r="B8" s="15">
        <v>0.58884000000000003</v>
      </c>
      <c r="C8" s="15">
        <v>0.60063999999999995</v>
      </c>
      <c r="D8" s="15">
        <v>0.54213999999999996</v>
      </c>
      <c r="E8" s="15">
        <v>0.57220000000000004</v>
      </c>
      <c r="F8" s="15">
        <v>0.63822000000000001</v>
      </c>
      <c r="G8" s="15">
        <v>0.5</v>
      </c>
      <c r="H8" s="15">
        <v>0.63768000000000002</v>
      </c>
      <c r="I8" s="15">
        <v>0.60870000000000002</v>
      </c>
      <c r="J8" s="15">
        <v>0.54696999999999996</v>
      </c>
      <c r="K8" s="15">
        <v>0.51851999999999998</v>
      </c>
      <c r="L8" s="15">
        <v>0.75039999999999996</v>
      </c>
    </row>
    <row r="9" spans="1:12" x14ac:dyDescent="0.25">
      <c r="A9" s="15">
        <v>0.68591000000000002</v>
      </c>
      <c r="B9" s="15">
        <v>0.68418000000000001</v>
      </c>
      <c r="C9" s="15">
        <v>0.60277000000000003</v>
      </c>
      <c r="D9" s="15">
        <v>0.41339999999999999</v>
      </c>
      <c r="E9" s="15">
        <v>0.95438999999999996</v>
      </c>
      <c r="F9" s="15">
        <v>0.88741000000000003</v>
      </c>
      <c r="G9" s="15">
        <v>0.71304999999999996</v>
      </c>
      <c r="H9" s="15">
        <v>0.85219</v>
      </c>
      <c r="I9" s="15">
        <v>0.82274999999999998</v>
      </c>
      <c r="J9" s="15">
        <v>0.84641999999999995</v>
      </c>
      <c r="K9" s="15">
        <v>0.84641999999999995</v>
      </c>
      <c r="L9" s="15">
        <v>0.8851</v>
      </c>
    </row>
    <row r="10" spans="1:12" x14ac:dyDescent="0.25">
      <c r="A10" s="15">
        <v>0.38395000000000001</v>
      </c>
      <c r="B10" s="15">
        <v>0.38684000000000002</v>
      </c>
      <c r="C10" s="15">
        <v>0.25807999999999998</v>
      </c>
      <c r="D10" s="15">
        <v>0.25982</v>
      </c>
      <c r="E10" s="15">
        <v>0.5</v>
      </c>
      <c r="F10" s="15">
        <v>0.50231000000000003</v>
      </c>
      <c r="G10" s="15">
        <v>0</v>
      </c>
      <c r="H10" s="15">
        <v>0.12239999999999999</v>
      </c>
      <c r="I10" s="15">
        <v>0.25</v>
      </c>
      <c r="J10" s="15">
        <v>0.24365000000000001</v>
      </c>
      <c r="K10" s="15">
        <v>0.38740999999999998</v>
      </c>
      <c r="L10" s="15">
        <v>0.25462000000000001</v>
      </c>
    </row>
    <row r="11" spans="1:12" x14ac:dyDescent="0.25">
      <c r="A11" s="15">
        <v>0.5</v>
      </c>
      <c r="B11" s="15">
        <v>0.57679000000000002</v>
      </c>
      <c r="C11" s="15">
        <v>0.53405999999999998</v>
      </c>
      <c r="D11" s="15">
        <v>0.5</v>
      </c>
      <c r="E11" s="15">
        <v>0.5</v>
      </c>
      <c r="F11" s="15">
        <v>0.5</v>
      </c>
      <c r="G11" s="15">
        <v>0.41282000000000002</v>
      </c>
      <c r="H11" s="15">
        <v>0.5</v>
      </c>
      <c r="I11" s="15">
        <v>0.55369999999999997</v>
      </c>
      <c r="J11" s="15">
        <v>0.5</v>
      </c>
      <c r="K11" s="15">
        <v>0.55657999999999996</v>
      </c>
      <c r="L11" s="15">
        <v>0.55484999999999995</v>
      </c>
    </row>
    <row r="12" spans="1:12" x14ac:dyDescent="0.25">
      <c r="A12" s="15">
        <v>0.55542999999999998</v>
      </c>
      <c r="B12" s="15">
        <v>0.40704000000000001</v>
      </c>
      <c r="C12" s="15">
        <v>0.52656000000000003</v>
      </c>
      <c r="D12" s="15">
        <v>0.35161999999999999</v>
      </c>
      <c r="E12" s="15">
        <v>0.5</v>
      </c>
      <c r="F12" s="15">
        <v>0.31524000000000002</v>
      </c>
      <c r="G12" s="15">
        <v>0.27714</v>
      </c>
      <c r="H12" s="15">
        <v>0.39550000000000002</v>
      </c>
      <c r="I12" s="15">
        <v>0.52309000000000005</v>
      </c>
      <c r="J12" s="15">
        <v>0.38279000000000002</v>
      </c>
      <c r="K12" s="15">
        <v>0.43303000000000003</v>
      </c>
      <c r="L12" s="15">
        <v>0.28694999999999998</v>
      </c>
    </row>
    <row r="13" spans="1:12" x14ac:dyDescent="0.25">
      <c r="A13" s="15">
        <v>0.75</v>
      </c>
      <c r="B13" s="15">
        <v>0.75</v>
      </c>
      <c r="C13" s="15">
        <v>0.625</v>
      </c>
      <c r="D13" s="15">
        <v>0.75</v>
      </c>
      <c r="E13" s="15">
        <v>0.75</v>
      </c>
      <c r="F13" s="15">
        <v>0.5</v>
      </c>
      <c r="G13" s="15">
        <v>0.625</v>
      </c>
      <c r="H13" s="15">
        <v>0.75</v>
      </c>
      <c r="I13" s="15">
        <v>0.625</v>
      </c>
      <c r="J13" s="15">
        <v>0.625</v>
      </c>
      <c r="K13" s="15">
        <v>0.75</v>
      </c>
      <c r="L13" s="15">
        <v>0.625</v>
      </c>
    </row>
    <row r="14" spans="1:12" x14ac:dyDescent="0.25">
      <c r="A14" s="15">
        <v>0.5</v>
      </c>
      <c r="B14" s="15">
        <v>0.75</v>
      </c>
      <c r="C14" s="15">
        <v>0.88278999999999996</v>
      </c>
      <c r="D14" s="15">
        <v>0.625</v>
      </c>
      <c r="E14" s="15">
        <v>0.75</v>
      </c>
      <c r="F14" s="15">
        <v>0.25</v>
      </c>
      <c r="G14" s="15">
        <v>0.25</v>
      </c>
      <c r="H14" s="15">
        <v>0.25</v>
      </c>
      <c r="I14" s="15">
        <v>0.625</v>
      </c>
      <c r="J14" s="15">
        <v>0.625</v>
      </c>
      <c r="K14" s="15">
        <v>0.625</v>
      </c>
      <c r="L14" s="15">
        <v>0.75</v>
      </c>
    </row>
    <row r="15" spans="1:12" x14ac:dyDescent="0.25">
      <c r="A15" s="15">
        <v>0.5</v>
      </c>
      <c r="B15" s="15">
        <v>1</v>
      </c>
      <c r="C15" s="15">
        <v>0.63048000000000004</v>
      </c>
      <c r="D15" s="15">
        <v>0.87932999999999995</v>
      </c>
      <c r="E15" s="15">
        <v>0.5</v>
      </c>
      <c r="F15" s="15">
        <v>0.64261000000000001</v>
      </c>
      <c r="G15" s="15">
        <v>0.38279000000000002</v>
      </c>
      <c r="H15" s="15">
        <v>0.62067000000000005</v>
      </c>
      <c r="I15" s="15">
        <v>0.50058000000000002</v>
      </c>
      <c r="J15" s="15">
        <v>0.24884999999999999</v>
      </c>
      <c r="K15" s="15">
        <v>0.75692999999999999</v>
      </c>
      <c r="L15" s="15">
        <v>0.63453000000000004</v>
      </c>
    </row>
    <row r="18" spans="1:12" x14ac:dyDescent="0.25">
      <c r="A18">
        <f>AVERAGE(A2:A3,A5:A6,A8:A10,A12:A13)</f>
        <v>0.57681555555555553</v>
      </c>
      <c r="B18">
        <f>AVERAGE(B2:B3,B6:B14)</f>
        <v>0.59152181818181826</v>
      </c>
      <c r="C18">
        <f>AVERAGE(C2:C3,C5:C15)</f>
        <v>0.62268923076923077</v>
      </c>
      <c r="D18">
        <f>AVERAGE(D2:D3,D5:D10,D12:D15)</f>
        <v>0.59415666666666667</v>
      </c>
      <c r="E18">
        <f>AVERAGE(E2:E3,E5:E6,E8:E9,E13:E14)</f>
        <v>0.69899</v>
      </c>
      <c r="F18">
        <f>AVERAGE(F2:F3,F5:F10,F12,F15)</f>
        <v>0.60663400000000001</v>
      </c>
      <c r="G18">
        <f>AVERAGE(G2:G3,G5:G7,G9,G11:G15)</f>
        <v>0.54238181818181819</v>
      </c>
      <c r="H18">
        <f>AVERAGE(H2:H3,H6:H10,H12,H13:H15)</f>
        <v>0.51133363636363638</v>
      </c>
      <c r="I18">
        <f>AVERAGE(I2:I4,I6,I8:I15)</f>
        <v>0.58998249999999997</v>
      </c>
      <c r="J18">
        <f>AVERAGE(J2:J3,J5:J6,J8:J10,J12:J15)</f>
        <v>0.57832727272727269</v>
      </c>
      <c r="K18">
        <f>AVERAGE(K2:K3,K5:K15)</f>
        <v>0.59527384615384615</v>
      </c>
      <c r="L18">
        <f>AVERAGE(L2:L4,L6:L15)</f>
        <v>0.52579076923076928</v>
      </c>
    </row>
    <row r="19" spans="1:12" x14ac:dyDescent="0.25">
      <c r="A19">
        <f>VAR(A2:A3,A5:A6,A8:A10,A12:A13)</f>
        <v>2.7341905727777893E-2</v>
      </c>
      <c r="B19">
        <f>VAR(B2:B3,B6:B14)</f>
        <v>2.2574604736363524E-2</v>
      </c>
      <c r="C19">
        <f>VAR(C2:C3,C5:C15)</f>
        <v>2.1711009457692294E-2</v>
      </c>
      <c r="D19">
        <f>VAR(D2:D3,D5:D10,D12:D15)</f>
        <v>3.179216038787884E-2</v>
      </c>
      <c r="E19">
        <f>VAR(E2:E3,E5:E6,E8:E9,E13:E14)</f>
        <v>1.8145084857142786E-2</v>
      </c>
      <c r="F19">
        <f>VAR(F2:F3,F5:F10,F12,F15)</f>
        <v>3.2705242537777797E-2</v>
      </c>
      <c r="G19">
        <f>VAR(G2:G3,G5:G7,G9,G11:G15)</f>
        <v>4.9708987436363691E-2</v>
      </c>
      <c r="H19">
        <f>VAR(H2:H3,H6:H10,H12,H13:H15)</f>
        <v>7.0039686085454494E-2</v>
      </c>
      <c r="I19">
        <f>VAR(I2:I4,I6,I8:I15)</f>
        <v>3.1404104620454572E-2</v>
      </c>
      <c r="J19">
        <f>VAR(J2:J3,J5:J6,J8:J10,J12:J15)</f>
        <v>4.2669568261818204E-2</v>
      </c>
      <c r="K19">
        <f>VAR(K2:K3,K5:K15)</f>
        <v>3.0259906275641013E-2</v>
      </c>
      <c r="L19">
        <f>VAR(L2:L4,L6:L15)</f>
        <v>4.9055093707692343E-2</v>
      </c>
    </row>
    <row r="22" spans="1:12" x14ac:dyDescent="0.25">
      <c r="G22" s="4" t="s">
        <v>18</v>
      </c>
      <c r="H22" t="s">
        <v>14</v>
      </c>
      <c r="I22" t="s">
        <v>15</v>
      </c>
      <c r="J22" t="s">
        <v>16</v>
      </c>
      <c r="K22" t="s">
        <v>17</v>
      </c>
    </row>
    <row r="23" spans="1:12" x14ac:dyDescent="0.25">
      <c r="G23" t="s">
        <v>13</v>
      </c>
      <c r="H23">
        <f>AVERAGE(A18:C18)</f>
        <v>0.59700886816886811</v>
      </c>
      <c r="I23">
        <f>AVERAGE(D18:F18)</f>
        <v>0.63326022222222222</v>
      </c>
      <c r="J23">
        <f>AVERAGE(G18:I18)</f>
        <v>0.54789931818181825</v>
      </c>
      <c r="K23">
        <f>AVERAGE(J18:L18)</f>
        <v>0.56646396270396271</v>
      </c>
    </row>
    <row r="24" spans="1:12" x14ac:dyDescent="0.25">
      <c r="G24" t="s">
        <v>19</v>
      </c>
      <c r="H24">
        <f>AVERAGE(A19:C19)</f>
        <v>2.387583997394457E-2</v>
      </c>
      <c r="I24">
        <f>AVERAGE(D19:F19)</f>
        <v>2.7547495927599808E-2</v>
      </c>
      <c r="J24">
        <f>AVERAGE(G19:I19)</f>
        <v>5.0384259380757586E-2</v>
      </c>
      <c r="K24">
        <f>AVERAGE(J19:L19)</f>
        <v>4.0661522748383853E-2</v>
      </c>
    </row>
    <row r="25" spans="1:12" x14ac:dyDescent="0.25">
      <c r="G25" t="s">
        <v>20</v>
      </c>
      <c r="H25">
        <f>COUNT(A2:C3,A5,C5,A6:C6,B7:C7,A8:C10,B11:C12,A12,A13:C13,B14:C14,C15)</f>
        <v>33</v>
      </c>
      <c r="I25">
        <f>COUNTA(D2:F3,D5:F6,D7:D8,E8:F8,F7,D9:F9,D10,F10,D12,F12,D13:E13,D14:F14,D15,F15)</f>
        <v>31</v>
      </c>
      <c r="J25">
        <f>COUNTA(G2:I3,I4,G5,G6:H7,I6,H8:I8,G9:I9,G11,I11,H10,G12:I12,G13,H13:I14,G14:G15,H15:I15)</f>
        <v>33</v>
      </c>
      <c r="K25">
        <f>COUNTA(J2:L3,L4,J5:K5,J6:L6,K7:L7,J8:L10,K11:L11,J12:L12,J13:L14,J15:L15)</f>
        <v>37</v>
      </c>
    </row>
    <row r="26" spans="1:12" x14ac:dyDescent="0.25">
      <c r="G26" t="s">
        <v>21</v>
      </c>
      <c r="H26">
        <v>0.05</v>
      </c>
      <c r="I26">
        <v>0.05</v>
      </c>
      <c r="J26">
        <v>0.05</v>
      </c>
      <c r="K26">
        <v>0.05</v>
      </c>
    </row>
    <row r="27" spans="1:12" x14ac:dyDescent="0.25">
      <c r="G27" t="s">
        <v>22</v>
      </c>
      <c r="H27">
        <f>CONFIDENCE(H26,H28,H25)</f>
        <v>5.1083005935641093E-2</v>
      </c>
      <c r="I27">
        <f t="shared" ref="I27:K27" si="0">CONFIDENCE(I26,I28,I25)</f>
        <v>6.318818298777254E-2</v>
      </c>
      <c r="J27">
        <f t="shared" si="0"/>
        <v>7.3547621160246893E-2</v>
      </c>
      <c r="K27">
        <f t="shared" si="0"/>
        <v>6.3820497321782452E-2</v>
      </c>
    </row>
    <row r="28" spans="1:12" x14ac:dyDescent="0.25">
      <c r="G28" t="s">
        <v>23</v>
      </c>
      <c r="H28">
        <f>STDEV(A2:C3,A5,C5,A6:C6,B7:C7,A8:C10,B11:C12,A12,A13:C13,B14:C14,C15)</f>
        <v>0.14972189799682889</v>
      </c>
      <c r="I28">
        <f>STDEV(D2:F3,D5:F6,D7:D8,E8:F8,F7,D9:F9,D10,F10,D12,F12,D13:E13,D14:F14,D15,F15)</f>
        <v>0.17950172358593791</v>
      </c>
      <c r="J28">
        <f>STDEV(G2:I3,I4,G5,G6:H7,I6,H8:I8,G9:I9,G11,I11,H10,G12:I12,G13,H13:I14,G14:G15,H15:I15)</f>
        <v>0.2155646331215787</v>
      </c>
      <c r="K28">
        <f>STDEV(J2:L3,L4,J5:K5,J6:L6,K7:L7,J8:L10,K11:L11,J12:L12,J13:L14,J15:L15)</f>
        <v>0.19806737921515255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874E-872F-433D-AEEF-516EBF93C282}">
  <dimension ref="A1:L28"/>
  <sheetViews>
    <sheetView topLeftCell="A7" zoomScale="80" zoomScaleNormal="80" workbookViewId="0">
      <selection activeCell="K23" sqref="K23"/>
    </sheetView>
  </sheetViews>
  <sheetFormatPr defaultRowHeight="15" x14ac:dyDescent="0.25"/>
  <cols>
    <col min="7" max="7" width="31.7109375" customWidth="1"/>
  </cols>
  <sheetData>
    <row r="1" spans="1:1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x14ac:dyDescent="0.25">
      <c r="A2" s="14">
        <v>0.68476000000000004</v>
      </c>
      <c r="B2" s="14">
        <v>0.71016000000000001</v>
      </c>
      <c r="C2" s="14">
        <v>0.59814999999999996</v>
      </c>
      <c r="D2" s="14">
        <v>0.83430000000000004</v>
      </c>
      <c r="E2" s="14">
        <v>0.84758</v>
      </c>
      <c r="F2" s="14">
        <v>0.84353</v>
      </c>
      <c r="G2" s="14">
        <v>0.29503000000000001</v>
      </c>
      <c r="H2" s="14">
        <v>0.22864000000000001</v>
      </c>
      <c r="I2" s="14">
        <v>0.18706999999999999</v>
      </c>
      <c r="J2" s="14">
        <v>0.64492000000000005</v>
      </c>
      <c r="K2" s="14">
        <v>0.65415999999999996</v>
      </c>
      <c r="L2" s="14">
        <v>0.56755</v>
      </c>
    </row>
    <row r="3" spans="1:12" x14ac:dyDescent="0.25">
      <c r="A3" s="14">
        <v>0.60333000000000003</v>
      </c>
      <c r="B3" s="14">
        <v>0.33977000000000002</v>
      </c>
      <c r="C3" s="14">
        <v>0.39077000000000001</v>
      </c>
      <c r="D3" s="14">
        <v>0.46216000000000002</v>
      </c>
      <c r="E3" s="14">
        <v>0.5</v>
      </c>
      <c r="F3" s="14">
        <v>0.39828000000000002</v>
      </c>
      <c r="G3" s="14">
        <v>0.40311000000000002</v>
      </c>
      <c r="H3" s="14">
        <v>0.5</v>
      </c>
      <c r="I3" s="14">
        <v>0.5</v>
      </c>
      <c r="J3" s="14">
        <v>0.5</v>
      </c>
      <c r="K3" s="14">
        <v>0.58025000000000004</v>
      </c>
      <c r="L3" s="14">
        <v>0.5</v>
      </c>
    </row>
    <row r="4" spans="1:12" x14ac:dyDescent="0.25">
      <c r="A4" s="14">
        <v>0.62856000000000001</v>
      </c>
      <c r="B4" s="14">
        <v>0.63607000000000002</v>
      </c>
      <c r="C4" s="14">
        <v>0.5</v>
      </c>
      <c r="D4" s="14">
        <v>0.75416000000000005</v>
      </c>
      <c r="E4" s="14">
        <v>0.64734000000000003</v>
      </c>
      <c r="F4" s="14">
        <v>0.5</v>
      </c>
      <c r="G4" s="14">
        <v>0.5</v>
      </c>
      <c r="H4" s="14">
        <v>0.5</v>
      </c>
      <c r="I4" s="14">
        <v>0.62856000000000001</v>
      </c>
      <c r="J4" s="14">
        <v>0.66291</v>
      </c>
      <c r="K4" s="14">
        <v>0.65700000000000003</v>
      </c>
      <c r="L4" s="14">
        <v>0.64412000000000003</v>
      </c>
    </row>
    <row r="5" spans="1:12" x14ac:dyDescent="0.25">
      <c r="A5" s="14">
        <v>0.84648000000000001</v>
      </c>
      <c r="B5" s="14">
        <v>0.85507</v>
      </c>
      <c r="C5" s="14">
        <v>0.30810999999999999</v>
      </c>
      <c r="D5" s="14">
        <v>0.22974</v>
      </c>
      <c r="E5" s="14">
        <v>0.64842</v>
      </c>
      <c r="F5" s="14">
        <v>0.40418999999999999</v>
      </c>
      <c r="G5" s="14">
        <v>0.41975000000000001</v>
      </c>
      <c r="H5" s="14">
        <v>0.78476000000000001</v>
      </c>
      <c r="I5" s="14">
        <v>0.12292</v>
      </c>
      <c r="J5" s="14">
        <v>0.25818999999999998</v>
      </c>
      <c r="K5" s="14">
        <v>0.84218999999999999</v>
      </c>
      <c r="L5" s="14">
        <v>0.875</v>
      </c>
    </row>
    <row r="6" spans="1:12" x14ac:dyDescent="0.25">
      <c r="A6" s="14">
        <v>0.37680999999999998</v>
      </c>
      <c r="B6" s="14">
        <v>0.36338999999999999</v>
      </c>
      <c r="C6" s="14">
        <v>0.5</v>
      </c>
      <c r="D6" s="14">
        <v>0.5</v>
      </c>
      <c r="E6" s="14">
        <v>0.5</v>
      </c>
      <c r="F6" s="14">
        <v>0.5</v>
      </c>
      <c r="G6" s="14">
        <v>0.64090000000000003</v>
      </c>
      <c r="H6" s="14">
        <v>0.23349</v>
      </c>
      <c r="I6" s="14">
        <v>0.5</v>
      </c>
      <c r="J6" s="14">
        <v>0.5</v>
      </c>
      <c r="K6" s="14">
        <v>0.36821999999999999</v>
      </c>
      <c r="L6" s="14">
        <v>0.5</v>
      </c>
    </row>
    <row r="7" spans="1:12" x14ac:dyDescent="0.25">
      <c r="A7" s="14">
        <v>0.65110000000000001</v>
      </c>
      <c r="B7" s="14">
        <v>0.60816000000000003</v>
      </c>
      <c r="C7" s="14">
        <v>0.64573000000000003</v>
      </c>
      <c r="D7" s="14">
        <v>0.66559000000000001</v>
      </c>
      <c r="E7" s="14">
        <v>0.64144000000000001</v>
      </c>
      <c r="F7" s="14">
        <v>0.61836000000000002</v>
      </c>
      <c r="G7" s="14">
        <v>0.63500000000000001</v>
      </c>
      <c r="H7" s="14">
        <v>0.58669000000000004</v>
      </c>
      <c r="I7" s="14">
        <v>0.58399999999999996</v>
      </c>
      <c r="J7" s="14">
        <v>0.58614999999999995</v>
      </c>
      <c r="K7" s="14">
        <v>0.59313000000000005</v>
      </c>
      <c r="L7" s="14">
        <v>0.67901</v>
      </c>
    </row>
    <row r="8" spans="1:12" x14ac:dyDescent="0.25">
      <c r="A8" s="14">
        <v>0.22115000000000001</v>
      </c>
      <c r="B8" s="14">
        <v>0.40096999999999999</v>
      </c>
      <c r="C8" s="14">
        <v>0.6774</v>
      </c>
      <c r="D8" s="14">
        <v>0.62587000000000004</v>
      </c>
      <c r="E8" s="14">
        <v>0.5</v>
      </c>
      <c r="F8" s="14">
        <v>0.51153999999999999</v>
      </c>
      <c r="G8" s="14">
        <v>0.76275000000000004</v>
      </c>
      <c r="H8" s="14">
        <v>0.64198</v>
      </c>
      <c r="I8" s="14">
        <v>0.38111</v>
      </c>
      <c r="J8" s="14">
        <v>0.64949000000000001</v>
      </c>
      <c r="K8" s="14">
        <v>0.73375999999999997</v>
      </c>
      <c r="L8" s="14">
        <v>0.27750999999999998</v>
      </c>
    </row>
    <row r="9" spans="1:12" x14ac:dyDescent="0.25">
      <c r="A9" s="14">
        <v>0.33199000000000001</v>
      </c>
      <c r="B9" s="14">
        <v>0.5</v>
      </c>
      <c r="C9" s="14">
        <v>0.43186999999999998</v>
      </c>
      <c r="D9" s="14">
        <v>0.70957999999999999</v>
      </c>
      <c r="E9" s="14">
        <v>0.5</v>
      </c>
      <c r="F9" s="14">
        <v>0.44688</v>
      </c>
      <c r="G9" s="14">
        <v>0.60277000000000003</v>
      </c>
      <c r="H9" s="14">
        <v>0.58487</v>
      </c>
      <c r="I9" s="14">
        <v>0.5</v>
      </c>
      <c r="J9" s="14">
        <v>0.55081000000000002</v>
      </c>
      <c r="K9" s="14">
        <v>0.68245</v>
      </c>
      <c r="L9" s="14">
        <v>0.42436000000000001</v>
      </c>
    </row>
    <row r="10" spans="1:12" x14ac:dyDescent="0.25">
      <c r="A10" s="14">
        <v>0.89434000000000002</v>
      </c>
      <c r="B10" s="14">
        <v>0.88741000000000003</v>
      </c>
      <c r="C10" s="14">
        <v>0.88568000000000002</v>
      </c>
      <c r="D10" s="14">
        <v>1</v>
      </c>
      <c r="E10" s="14">
        <v>0.89144999999999996</v>
      </c>
      <c r="F10" s="14">
        <v>1</v>
      </c>
      <c r="G10" s="14">
        <v>1</v>
      </c>
      <c r="H10" s="14">
        <v>1</v>
      </c>
      <c r="I10" s="14">
        <v>0.88626000000000005</v>
      </c>
      <c r="J10" s="14">
        <v>1</v>
      </c>
      <c r="K10" s="14">
        <v>0.87297999999999998</v>
      </c>
      <c r="L10" s="14">
        <v>1</v>
      </c>
    </row>
    <row r="11" spans="1:12" x14ac:dyDescent="0.25">
      <c r="A11" s="14">
        <v>0.88971999999999996</v>
      </c>
      <c r="B11" s="14">
        <v>0.68994999999999995</v>
      </c>
      <c r="C11" s="14">
        <v>0.76963000000000004</v>
      </c>
      <c r="D11" s="14">
        <v>0.89837999999999996</v>
      </c>
      <c r="E11" s="14">
        <v>0.75866</v>
      </c>
      <c r="F11" s="14">
        <v>0.63048000000000004</v>
      </c>
      <c r="G11" s="14">
        <v>0.63163999999999998</v>
      </c>
      <c r="H11" s="14">
        <v>0.63568000000000002</v>
      </c>
      <c r="I11" s="14">
        <v>0.63048000000000004</v>
      </c>
      <c r="J11" s="14">
        <v>0.76154999999999995</v>
      </c>
      <c r="K11" s="14">
        <v>0.76385999999999998</v>
      </c>
      <c r="L11" s="14">
        <v>0.76848000000000005</v>
      </c>
    </row>
    <row r="12" spans="1:12" x14ac:dyDescent="0.25">
      <c r="A12" s="14">
        <v>0.53868000000000005</v>
      </c>
      <c r="B12" s="14">
        <v>0.5</v>
      </c>
      <c r="C12" s="14">
        <v>0.65012000000000003</v>
      </c>
      <c r="D12" s="14">
        <v>0.53695000000000004</v>
      </c>
      <c r="E12" s="14">
        <v>0.44803999999999999</v>
      </c>
      <c r="F12" s="14">
        <v>0.57852000000000003</v>
      </c>
      <c r="G12" s="14">
        <v>0.55139000000000005</v>
      </c>
      <c r="H12" s="14">
        <v>0.52656000000000003</v>
      </c>
      <c r="I12" s="14">
        <v>0.56813000000000002</v>
      </c>
      <c r="J12" s="14">
        <v>0.54849999999999999</v>
      </c>
      <c r="K12" s="14">
        <v>0.64202999999999999</v>
      </c>
      <c r="L12" s="14">
        <v>0.53522000000000003</v>
      </c>
    </row>
    <row r="13" spans="1:12" x14ac:dyDescent="0.25">
      <c r="A13" s="14">
        <v>0.5</v>
      </c>
      <c r="B13" s="14">
        <v>0.62529000000000001</v>
      </c>
      <c r="C13" s="14">
        <v>0.64319000000000004</v>
      </c>
      <c r="D13" s="14">
        <v>0.31928000000000001</v>
      </c>
      <c r="E13" s="14">
        <v>0.5</v>
      </c>
      <c r="F13" s="14">
        <v>0.5</v>
      </c>
      <c r="G13" s="14">
        <v>0.5</v>
      </c>
      <c r="H13" s="14">
        <v>0.56235999999999997</v>
      </c>
      <c r="I13" s="14">
        <v>0.57043999999999995</v>
      </c>
      <c r="J13" s="14">
        <v>0.41397</v>
      </c>
      <c r="K13" s="14">
        <v>0.5</v>
      </c>
      <c r="L13" s="14">
        <v>0.5</v>
      </c>
    </row>
    <row r="14" spans="1:12" x14ac:dyDescent="0.25">
      <c r="A14" s="14">
        <v>0.5</v>
      </c>
      <c r="B14" s="14">
        <v>0.5</v>
      </c>
      <c r="C14" s="14">
        <v>0.375</v>
      </c>
      <c r="D14" s="14">
        <v>0.625</v>
      </c>
      <c r="E14" s="14">
        <v>0.625</v>
      </c>
      <c r="F14" s="14">
        <v>0.5</v>
      </c>
      <c r="G14" s="14">
        <v>0.625</v>
      </c>
      <c r="H14" s="14">
        <v>0.625</v>
      </c>
      <c r="I14" s="14">
        <v>0.5</v>
      </c>
      <c r="J14" s="14">
        <v>0.75</v>
      </c>
      <c r="K14" s="14">
        <v>0.75</v>
      </c>
      <c r="L14" s="14">
        <v>0.625</v>
      </c>
    </row>
    <row r="15" spans="1:12" x14ac:dyDescent="0.25">
      <c r="A15" s="14">
        <v>0.625</v>
      </c>
      <c r="B15" s="14">
        <v>0.5</v>
      </c>
      <c r="C15" s="14">
        <v>0.5</v>
      </c>
      <c r="D15" s="14">
        <v>0.36951000000000001</v>
      </c>
      <c r="E15" s="14">
        <v>0.375</v>
      </c>
      <c r="F15" s="14">
        <v>0.75</v>
      </c>
      <c r="G15" s="14">
        <v>0.75</v>
      </c>
      <c r="H15" s="14">
        <v>0.375</v>
      </c>
      <c r="I15" s="14">
        <v>0.5</v>
      </c>
      <c r="J15" s="14">
        <v>0.625</v>
      </c>
      <c r="K15" s="14">
        <v>0.5</v>
      </c>
      <c r="L15" s="14">
        <v>0.375</v>
      </c>
    </row>
    <row r="16" spans="1:12" x14ac:dyDescent="0.25">
      <c r="A16" s="14">
        <v>0.37991000000000003</v>
      </c>
      <c r="B16" s="14">
        <v>1</v>
      </c>
      <c r="C16" s="14">
        <v>0.5</v>
      </c>
      <c r="D16" s="14">
        <v>1</v>
      </c>
      <c r="E16" s="14">
        <v>0.77020999999999995</v>
      </c>
      <c r="F16" s="14">
        <v>0.5</v>
      </c>
      <c r="G16" s="14">
        <v>0.5</v>
      </c>
      <c r="H16" s="14">
        <v>1</v>
      </c>
      <c r="I16" s="14">
        <v>0.5</v>
      </c>
      <c r="J16" s="14">
        <v>0.75982000000000005</v>
      </c>
      <c r="K16" s="14">
        <v>0.88915</v>
      </c>
      <c r="L16" s="14">
        <v>0.5</v>
      </c>
    </row>
    <row r="18" spans="1:12" x14ac:dyDescent="0.25">
      <c r="A18">
        <f>AVERAGE(A2:A12,A15:A16)</f>
        <v>0.59014076923076919</v>
      </c>
      <c r="B18">
        <f>AVERAGE(B2:B8,B10:B11,B13)</f>
        <v>0.61162399999999995</v>
      </c>
      <c r="C18">
        <f>AVERAGE(C2:C3,C5,C7:C14)</f>
        <v>0.57960454545454543</v>
      </c>
      <c r="D18">
        <f>AVERAGE(D2:D5,D7:D9,D11:D15)</f>
        <v>0.58587666666666671</v>
      </c>
      <c r="E18">
        <f>AVERAGE(E2,E4:E5,E7,E10:E12,E14:E16)</f>
        <v>0.66531399999999996</v>
      </c>
      <c r="F18">
        <f>AVERAGE(F2:F3,F5,F7:F9,F11:F12,F15)</f>
        <v>0.57575333333333334</v>
      </c>
      <c r="G18">
        <f>AVERAGE(G2:G3,G5:G9,G11:G12,G14:G15)</f>
        <v>0.57430363636363635</v>
      </c>
      <c r="H18">
        <f>AVERAGE(H2,H5:H9,H11:H15)</f>
        <v>0.5259118181818182</v>
      </c>
      <c r="I18">
        <f>AVERAGE(I2,I4:I5,I7:I8,I10:I13)</f>
        <v>0.50655222222222218</v>
      </c>
      <c r="J18">
        <f>AVERAGE(J2,J4:J5,J7:J9,J11:J16)</f>
        <v>0.60094250000000005</v>
      </c>
      <c r="K18">
        <f>AVERAGE(K2:K12,K14,K16)</f>
        <v>0.69455230769230769</v>
      </c>
      <c r="L18">
        <f>AVERAGE(L2,L4:L5,L7:L9,L11:L12,L14:L15)</f>
        <v>0.57712499999999989</v>
      </c>
    </row>
    <row r="19" spans="1:12" x14ac:dyDescent="0.25">
      <c r="A19">
        <f>VAR(A2:C3,A5:B5,A4:B4,C5,A6:B6,A7:C8,A9,C9,A10:C11,A12,B13:C13,C12,A15,C14,A16)</f>
        <v>3.7037483193582847E-2</v>
      </c>
      <c r="B19">
        <f>VAR(B2:B8,B10:B11,B13)</f>
        <v>3.6873818648889008E-2</v>
      </c>
      <c r="C19">
        <f>VAR(C2:C3,C5,C7:C14)</f>
        <v>3.2614414687272705E-2</v>
      </c>
      <c r="D19">
        <f>VAR(D2:D5,D7:D9,D11:D15)</f>
        <v>4.3172715733333256E-2</v>
      </c>
      <c r="E19">
        <f>VAR(E2,E4:E5,E7,E10:E12,E14:E16)</f>
        <v>2.648543331555548E-2</v>
      </c>
      <c r="F19">
        <f>VAR(F2:F3,F5,F7:F9,F11:F12,F15)</f>
        <v>2.3568335525000095E-2</v>
      </c>
      <c r="G19">
        <f>VAR(G2:G3,G5:G9,G11:G12,G14:G15)</f>
        <v>2.1288116845454574E-2</v>
      </c>
      <c r="H19">
        <f>VAR(H2,H5:H9,H11:H15)</f>
        <v>3.0749610076363742E-2</v>
      </c>
      <c r="I19">
        <f>VAR(I2,I4:I5,I7:I8,I10:I13)</f>
        <v>5.6658992619444459E-2</v>
      </c>
      <c r="J19">
        <f>VAR(J2,J4:J5,J7:J9,J11:J16)</f>
        <v>2.1807715947727357E-2</v>
      </c>
      <c r="K19">
        <f>VAR(K2:K12,K14,K16)</f>
        <v>1.9725657285897553E-2</v>
      </c>
      <c r="L19">
        <f>VAR(L2,L4:L5,L7:L9,L11:L12,L14:L15)</f>
        <v>3.3146185472222367E-2</v>
      </c>
    </row>
    <row r="22" spans="1:12" x14ac:dyDescent="0.25">
      <c r="G22" s="4" t="s">
        <v>18</v>
      </c>
      <c r="H22" t="s">
        <v>14</v>
      </c>
      <c r="I22" t="s">
        <v>15</v>
      </c>
      <c r="J22" t="s">
        <v>16</v>
      </c>
      <c r="K22" t="s">
        <v>17</v>
      </c>
    </row>
    <row r="23" spans="1:12" x14ac:dyDescent="0.25">
      <c r="G23" t="s">
        <v>13</v>
      </c>
      <c r="H23">
        <f>AVERAGE(A18:C18)</f>
        <v>0.59378977156177148</v>
      </c>
      <c r="I23">
        <f>AVERAGE(D18:F18)</f>
        <v>0.60898133333333326</v>
      </c>
      <c r="J23">
        <f>AVERAGE(G18:I18)</f>
        <v>0.5355892255892255</v>
      </c>
      <c r="K23">
        <f>AVERAGE(J18:L18)</f>
        <v>0.62420660256410254</v>
      </c>
    </row>
    <row r="24" spans="1:12" x14ac:dyDescent="0.25">
      <c r="G24" t="s">
        <v>19</v>
      </c>
      <c r="H24">
        <f>AVERAGE(A19:C19)</f>
        <v>3.5508572176581522E-2</v>
      </c>
      <c r="I24">
        <f>AVERAGE(D19:F19)</f>
        <v>3.1075494857962942E-2</v>
      </c>
      <c r="J24">
        <f>AVERAGE(G19:I19)</f>
        <v>3.6232239847087594E-2</v>
      </c>
      <c r="K24">
        <f>AVERAGE(J19:L19)</f>
        <v>2.4893186235282427E-2</v>
      </c>
    </row>
    <row r="25" spans="1:12" x14ac:dyDescent="0.25">
      <c r="G25" t="s">
        <v>20</v>
      </c>
      <c r="H25">
        <f>COUNT(A2:C3,A5:B5,A4:B4,C5,A6:B6,A7:C8,A9,C9,A10:C11,A12,B13:C13,C12,A15,C14,A16)</f>
        <v>34</v>
      </c>
      <c r="I25">
        <f>COUNTA(D2:F2,F3,D3:D4,E4,D5:F5,D7:F7,D8:D9,F8:F9,E10,D11:F12,D13,D14:E14,D15:E15,E16,F15)</f>
        <v>31</v>
      </c>
      <c r="J25">
        <f>COUNTA(G2:I2,G3,I4:I5,G5:H6,G7:I7,G8:I8,G9:H9,I10,G11:I12,H13,I13,G14,H14,G15,H15)</f>
        <v>31</v>
      </c>
      <c r="K25">
        <f>COUNTA(J2:L2,K3,J4:L5,K6,J7:L8,J9:L9,K10,J11:L12,J13,K14,J14,L14,J15,L15,J16:K16)</f>
        <v>35</v>
      </c>
    </row>
    <row r="26" spans="1:12" x14ac:dyDescent="0.25">
      <c r="G26" t="s">
        <v>21</v>
      </c>
      <c r="H26">
        <v>0.05</v>
      </c>
      <c r="I26">
        <v>0.05</v>
      </c>
      <c r="J26">
        <v>0.05</v>
      </c>
      <c r="K26">
        <v>0.05</v>
      </c>
    </row>
    <row r="27" spans="1:12" x14ac:dyDescent="0.25">
      <c r="G27" t="s">
        <v>22</v>
      </c>
      <c r="H27">
        <f>CONFIDENCE(H26,H28,H25)</f>
        <v>6.0297272262184079E-2</v>
      </c>
      <c r="I27">
        <f t="shared" ref="I27:K27" si="0">CONFIDENCE(I26,I28,I25)</f>
        <v>6.263866302184104E-2</v>
      </c>
      <c r="J27">
        <f t="shared" si="0"/>
        <v>6.4226218511163377E-2</v>
      </c>
      <c r="K27">
        <f t="shared" si="0"/>
        <v>5.2907354656396094E-2</v>
      </c>
    </row>
    <row r="28" spans="1:12" x14ac:dyDescent="0.25">
      <c r="G28" t="s">
        <v>23</v>
      </c>
      <c r="H28">
        <f>STDEV(A2:C3,A5,C5,A6:C6,B7:C7,A8:C10,B11:C12,A12,A13:C13,B14:C14,C15)</f>
        <v>0.1793862013406809</v>
      </c>
      <c r="I28">
        <f>STDEV(D2:F2,F3,D3:D4,E4,D5:F5,D7:F7,D8:D9,F8:F9,E10,D11:F12,D13,D14:E14,D15:E15,E16,F15)</f>
        <v>0.17794067567530758</v>
      </c>
      <c r="J28">
        <f>STDEV(G2:I2,G3,I4:I5,G5:H6,G7:I7,G8:I8,G9:H9,I10,G11:I12,H13,I13,G14,H14,G15,H15)</f>
        <v>0.18245052123736183</v>
      </c>
      <c r="K28">
        <f>STDEV(J2:L2,K3,J4:L5,K6,J7:L8,J9:L9,K10,J11:L12,J13,K14,J14,L14,J15,L15,J16:K16)</f>
        <v>0.15969891984185577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WOOF_ATTR1</vt:lpstr>
      <vt:lpstr>WOOF_ATTR2</vt:lpstr>
      <vt:lpstr>WOOF_ATTR3</vt:lpstr>
      <vt:lpstr>FEAT_CORR_WOOFER</vt:lpstr>
      <vt:lpstr>FEAT_CORR_TWEETER</vt:lpstr>
      <vt:lpstr>TWEET_ATTR1</vt:lpstr>
      <vt:lpstr>TWEET_ATTR2</vt:lpstr>
      <vt:lpstr>TWEET_ATTR3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Sopranzi</dc:creator>
  <cp:lastModifiedBy>Alessio Sopranzi</cp:lastModifiedBy>
  <dcterms:created xsi:type="dcterms:W3CDTF">2015-06-05T18:19:34Z</dcterms:created>
  <dcterms:modified xsi:type="dcterms:W3CDTF">2020-05-07T00:04:31Z</dcterms:modified>
</cp:coreProperties>
</file>